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lagapora\"/>
    </mc:Choice>
  </mc:AlternateContent>
  <xr:revisionPtr revIDLastSave="0" documentId="13_ncr:1_{2CF1A2CD-AC92-494C-9D8F-8EFAB1C72714}" xr6:coauthVersionLast="47" xr6:coauthVersionMax="47" xr10:uidLastSave="{00000000-0000-0000-0000-000000000000}"/>
  <bookViews>
    <workbookView xWindow="-20610" yWindow="4470" windowWidth="20730" windowHeight="11040" activeTab="1" xr2:uid="{98912FCF-9910-4253-A812-E9F116901F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99" i="1"/>
  <c r="E104" i="1"/>
  <c r="E130" i="1"/>
  <c r="E138" i="1"/>
  <c r="E140" i="1"/>
  <c r="E143" i="1"/>
  <c r="E146" i="1"/>
  <c r="E150" i="1"/>
  <c r="E156" i="1"/>
  <c r="E161" i="1"/>
  <c r="E166" i="1"/>
  <c r="E168" i="1"/>
  <c r="E174" i="1"/>
  <c r="E177" i="1"/>
  <c r="E182" i="1"/>
  <c r="E187" i="1"/>
  <c r="E192" i="1"/>
  <c r="E195" i="1"/>
  <c r="E198" i="1"/>
  <c r="E202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93" i="1"/>
  <c r="E95" i="1"/>
  <c r="E96" i="1"/>
  <c r="E98" i="1"/>
  <c r="E101" i="1"/>
  <c r="E105" i="1"/>
  <c r="E132" i="1"/>
  <c r="E135" i="1"/>
  <c r="E144" i="1"/>
  <c r="E148" i="1"/>
  <c r="E152" i="1"/>
  <c r="E157" i="1"/>
  <c r="E160" i="1"/>
  <c r="E163" i="1"/>
  <c r="E167" i="1"/>
  <c r="E172" i="1"/>
  <c r="E176" i="1"/>
  <c r="E181" i="1"/>
  <c r="E184" i="1"/>
  <c r="E186" i="1"/>
  <c r="E190" i="1"/>
  <c r="E196" i="1"/>
  <c r="E19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4" i="1"/>
  <c r="E97" i="1"/>
  <c r="E100" i="1"/>
  <c r="E102" i="1"/>
  <c r="E131" i="1"/>
  <c r="E134" i="1"/>
  <c r="E137" i="1"/>
  <c r="E141" i="1"/>
  <c r="E147" i="1"/>
  <c r="E153" i="1"/>
  <c r="E158" i="1"/>
  <c r="E164" i="1"/>
  <c r="E170" i="1"/>
  <c r="E175" i="1"/>
  <c r="E180" i="1"/>
  <c r="E185" i="1"/>
  <c r="E188" i="1"/>
  <c r="E191" i="1"/>
  <c r="E194" i="1"/>
  <c r="E200" i="1"/>
  <c r="E203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9" i="1"/>
  <c r="E133" i="1"/>
  <c r="E136" i="1"/>
  <c r="E139" i="1"/>
  <c r="E142" i="1"/>
  <c r="E145" i="1"/>
  <c r="E149" i="1"/>
  <c r="E151" i="1"/>
  <c r="E155" i="1"/>
  <c r="E159" i="1"/>
  <c r="E162" i="1"/>
  <c r="E165" i="1"/>
  <c r="E169" i="1"/>
  <c r="E171" i="1"/>
  <c r="E173" i="1"/>
  <c r="E178" i="1"/>
  <c r="E183" i="1"/>
  <c r="E189" i="1"/>
  <c r="E193" i="1"/>
  <c r="E197" i="1"/>
  <c r="E201" i="1"/>
  <c r="E204" i="1"/>
  <c r="E2" i="1"/>
  <c r="E27" i="1"/>
  <c r="E52" i="1"/>
  <c r="E78" i="1"/>
  <c r="E103" i="1"/>
  <c r="E128" i="1"/>
  <c r="E154" i="1"/>
  <c r="E179" i="1"/>
</calcChain>
</file>

<file path=xl/sharedStrings.xml><?xml version="1.0" encoding="utf-8"?>
<sst xmlns="http://schemas.openxmlformats.org/spreadsheetml/2006/main" count="803" uniqueCount="378">
  <si>
    <t>ARAYYAN HAFIY PANGESTU</t>
  </si>
  <si>
    <t>ADIRA NOVA AZZAHRA</t>
  </si>
  <si>
    <t>Alghazali Mahariza</t>
  </si>
  <si>
    <t>AFIF RISMAN ABDILAH</t>
  </si>
  <si>
    <t>MUHAMMAD FADLI ROBBI</t>
  </si>
  <si>
    <t>SYAFIQ AZZAM AL GHIFARI</t>
  </si>
  <si>
    <t>KHAYANA NUR KHOTIMAH</t>
  </si>
  <si>
    <t>RUTH VENI ANGGRAINI BR SIMANGUNSONG</t>
  </si>
  <si>
    <t>Nabibah Raysa Syahira</t>
  </si>
  <si>
    <t>HANUNG MARCELLO LINGGAN PRADITYA</t>
  </si>
  <si>
    <t>AFKAR ARSYAKHA DESWA</t>
  </si>
  <si>
    <t>Try Afgan Pamungkas</t>
  </si>
  <si>
    <t>Zain Khayatul Fahmi</t>
  </si>
  <si>
    <t>Wahyu Setiawan</t>
  </si>
  <si>
    <t>PUTRI AISYAH</t>
  </si>
  <si>
    <t>TAUFAN RAFI PRAMUDITO</t>
  </si>
  <si>
    <t>Akbar Faizul Annur</t>
  </si>
  <si>
    <t>Fitra Zaidan Maulana</t>
  </si>
  <si>
    <t>MUHHAROM SUHARTANA SAHIR</t>
  </si>
  <si>
    <t>ADITAMA ELVAN SYAHREZA</t>
  </si>
  <si>
    <t>Dwika Banu Samudra</t>
  </si>
  <si>
    <t>MUHAMMAD DAFA ALFAREZA</t>
  </si>
  <si>
    <t>NURRASYIDZ MARLFIN DAVIANSYAH</t>
  </si>
  <si>
    <t>ATIQOH FAIHA NUR ANGGITA</t>
  </si>
  <si>
    <t>Azzam Raffandra Akhmad</t>
  </si>
  <si>
    <t>Tri Eza Pranata</t>
  </si>
  <si>
    <t>Shilvia Rahmadhany</t>
  </si>
  <si>
    <t>Khoirun Nisa</t>
  </si>
  <si>
    <t>Alfian Yusuf Pratama</t>
  </si>
  <si>
    <t>MUHAMMAD KAFTARO ZANUBA PUTRA</t>
  </si>
  <si>
    <t>MA'RUF DWI ALKARCHI</t>
  </si>
  <si>
    <t>AHMAD HABIBUL RAHMAN</t>
  </si>
  <si>
    <t>LUTHFI QAF QURUNULBAHRI</t>
  </si>
  <si>
    <t>SYAHMI IVA HASYA</t>
  </si>
  <si>
    <t>DIAH NUR WAHYUNI</t>
  </si>
  <si>
    <t>ZAFRAN KHALFANI AKBAR</t>
  </si>
  <si>
    <t>Faiz Farkhani</t>
  </si>
  <si>
    <t>ADIATMA BRIANT AS-TSAQIIF</t>
  </si>
  <si>
    <t>MUHAMMAD MIFTAKHUL ADIF</t>
  </si>
  <si>
    <t>CAKRA TRIYUGA</t>
  </si>
  <si>
    <t>DAFA FEBRIANSYAH</t>
  </si>
  <si>
    <t>HERNI SETIAWATI</t>
  </si>
  <si>
    <t>MUHAMMAD LUTFI IZZU DIN</t>
  </si>
  <si>
    <t>IQBAL PRATAMA SAPUTRA</t>
  </si>
  <si>
    <t>MUTIARA DWI APRILIANI</t>
  </si>
  <si>
    <t>MUHAMMAD ARFA ALFARO</t>
  </si>
  <si>
    <t>NURISYAFA RUTH MAULIDA</t>
  </si>
  <si>
    <t>Prisila Putriana</t>
  </si>
  <si>
    <t>RATRI RADINAN SAH</t>
  </si>
  <si>
    <t>Gita Aliya Fitri</t>
  </si>
  <si>
    <t>ARISTA LITUHAYU WULANSUCI</t>
  </si>
  <si>
    <t>MUHAMAD FARKHAN MUBAROK</t>
  </si>
  <si>
    <t>Ridho Setiawan</t>
  </si>
  <si>
    <t>Asha Azkadina Kusuma</t>
  </si>
  <si>
    <t>RESTU AZAM HANAFI</t>
  </si>
  <si>
    <t>KAIFA ZIDNI KHAIRUNNISA</t>
  </si>
  <si>
    <t>MUHAMAD ZIDNI AL MUBAROK</t>
  </si>
  <si>
    <t>AQIRA DJUNIKA</t>
  </si>
  <si>
    <t>DAVIN ADITYA RAMADHANIANSYAH</t>
  </si>
  <si>
    <t>FARISKA LESTIANA</t>
  </si>
  <si>
    <t>FARROS AZMIY NUR FAIZ</t>
  </si>
  <si>
    <t>Yoga Permana</t>
  </si>
  <si>
    <t>MUHAMMAD RADEVA RISDIYAN</t>
  </si>
  <si>
    <t>Hilman Ahmad Zulkarnain</t>
  </si>
  <si>
    <t>AL GHAZALI WIJAYA</t>
  </si>
  <si>
    <t>El Nino Agrata Dirganara</t>
  </si>
  <si>
    <t>ARZETY SALMA ROIDINA KISYA</t>
  </si>
  <si>
    <t>NABILA PUTRI KARTINI</t>
  </si>
  <si>
    <t>FITRA RAMADHAN</t>
  </si>
  <si>
    <t>Muhamad Rifky Baihaqi</t>
  </si>
  <si>
    <t>AGATA YUDA APTA DWI ISKANDAR</t>
  </si>
  <si>
    <t>DEDE IRMA SURYANI</t>
  </si>
  <si>
    <t>GENTA AL VARIZY</t>
  </si>
  <si>
    <t>Bastian Fadillah Widyatama</t>
  </si>
  <si>
    <t>ABDUL JALAL</t>
  </si>
  <si>
    <t>JAHRA ROONA ASSYIFA</t>
  </si>
  <si>
    <t>Sugeng Prastyo</t>
  </si>
  <si>
    <t>IQBAL ARKAB GAHAFUR</t>
  </si>
  <si>
    <t>Nadia Izzatunisa</t>
  </si>
  <si>
    <t>FADHIA NUR FA'IZA</t>
  </si>
  <si>
    <t>BISMA AJI ARYA GRANDIS</t>
  </si>
  <si>
    <t>HAIKAL FAJAR MAULANA</t>
  </si>
  <si>
    <t>SARAI NATALIA KUSMIANTO</t>
  </si>
  <si>
    <t>NAZZIF NANDANA PUTRA</t>
  </si>
  <si>
    <t>ASYILA MIKAILA BILQIS</t>
  </si>
  <si>
    <t>HILMAN TEGUH WIGUNA</t>
  </si>
  <si>
    <t>KAYLA APRILIANA PUTRI</t>
  </si>
  <si>
    <t>NATHANZA YOUFI RAFFAEZA</t>
  </si>
  <si>
    <t>AKBAR NUR DAFFA PRATAMA</t>
  </si>
  <si>
    <t>ASILA PUTRI PINASIH</t>
  </si>
  <si>
    <t>FAHMI MIFTAKHUL HASAN</t>
  </si>
  <si>
    <t>Yova Rizqi Saputra</t>
  </si>
  <si>
    <t>MUHAMMAD SHAFAR ALI</t>
  </si>
  <si>
    <t>VALLESCA YUAN ALRASYID</t>
  </si>
  <si>
    <t>APRILIA NUR AZIZAH</t>
  </si>
  <si>
    <t>RIDHO SYFAUL ANAM</t>
  </si>
  <si>
    <t>Raasyid Dwi Nugroho</t>
  </si>
  <si>
    <t>FADIL DWI SAPUTRA</t>
  </si>
  <si>
    <t>NAFISSA NUR ADILA</t>
  </si>
  <si>
    <t>FARIDA ALFIANI</t>
  </si>
  <si>
    <t>VIZAN YAHYA DHARMA PUTRA</t>
  </si>
  <si>
    <t>Ganjar Arifyanto</t>
  </si>
  <si>
    <t>STEVEN ASTATANU MAHARDIKA</t>
  </si>
  <si>
    <t>EGI MAULANA SAPUTRA</t>
  </si>
  <si>
    <t>SAFARAS AFKAR FADHIL PRATAMA</t>
  </si>
  <si>
    <t>FAISAL KHANIF MUFID</t>
  </si>
  <si>
    <t>Muchamad Satrio Nugroho</t>
  </si>
  <si>
    <t>MALIKA KHIRANI NAUFALYN</t>
  </si>
  <si>
    <t>FAREL ADITYA PUTRA</t>
  </si>
  <si>
    <t>Andini Aulia Kartika</t>
  </si>
  <si>
    <t>MUHAMAD JALLALUDIN AL FAUZI</t>
  </si>
  <si>
    <t>JAZLAN NURFALAH</t>
  </si>
  <si>
    <t>AISYAH TALITA FARHANAH</t>
  </si>
  <si>
    <t>IBNU SAIFFU ROHMAN</t>
  </si>
  <si>
    <t>ZHAFRAN FALAH ADYATAMA</t>
  </si>
  <si>
    <t>QAYLA FARA RAFASYA</t>
  </si>
  <si>
    <t>RIFAT HAFIZ RAMADAN</t>
  </si>
  <si>
    <t>MUTIARA SEPTI RIANA INDRIYANTO</t>
  </si>
  <si>
    <t>DIMAS SATRIA BAGASKARA</t>
  </si>
  <si>
    <t>CHIKA ATIFAH NUR FINY</t>
  </si>
  <si>
    <t>IBRAHIM SAVI ASSATHIRUL AWALIN</t>
  </si>
  <si>
    <t>Syahrul Ramadhani</t>
  </si>
  <si>
    <t>KEYSHIA ADIA ROFA</t>
  </si>
  <si>
    <t>ABYAN FAUZAN MAULANA</t>
  </si>
  <si>
    <t>FIRLI SAFINATUL HUSNA</t>
  </si>
  <si>
    <t>SYAAKIRA SYIFA SYAUQIA</t>
  </si>
  <si>
    <t>MUHAMAD FAISAL</t>
  </si>
  <si>
    <t>AQILATUL HAYAH</t>
  </si>
  <si>
    <t>ALYA INAYATU SA'DANAH</t>
  </si>
  <si>
    <t>MAHDA AKSELIA SYIFA'I</t>
  </si>
  <si>
    <t>Fahri Huzaini Al Diano</t>
  </si>
  <si>
    <t>KAINDRA OZIL MAHARDIKA</t>
  </si>
  <si>
    <t>FADHILAH NUR ALFASALAM</t>
  </si>
  <si>
    <t>HAFIZA KHAIRA LUBNA</t>
  </si>
  <si>
    <t>ANISA AZZAHRA</t>
  </si>
  <si>
    <t>MUHAMMAD GHOZI AL FARUQI</t>
  </si>
  <si>
    <t>ARYA FIRLIYANTO</t>
  </si>
  <si>
    <t>ARFAN RAFFASYA KAFEL</t>
  </si>
  <si>
    <t>SHAZFA ALFATUNISSA</t>
  </si>
  <si>
    <t>BAHTIAR ALMAM SAPUTRA</t>
  </si>
  <si>
    <t>SYEILA NUR SARIFAH</t>
  </si>
  <si>
    <t>MUHAMMAD FAQIH</t>
  </si>
  <si>
    <t>Ibnu Raffi Syauqi</t>
  </si>
  <si>
    <t>MELINA ALYA NAFI'AH</t>
  </si>
  <si>
    <t>AZALIA AZMI SYAKIRAH</t>
  </si>
  <si>
    <t>RUWAIDA KHUZAIMA TSUROYA</t>
  </si>
  <si>
    <t>FABIAN ASSYABIYA FAZIOLA</t>
  </si>
  <si>
    <t>Daffa Irhab Al Farizy</t>
  </si>
  <si>
    <t>AZZAHRA MUTIARA CALISTHA</t>
  </si>
  <si>
    <t>CELLO ATHARIZZ  AL GHIFARI</t>
  </si>
  <si>
    <t>GIGGSY MUBARAK BUDIMAN</t>
  </si>
  <si>
    <t>REINA DWI SEPTIANI</t>
  </si>
  <si>
    <t>ALBET ANDRIANO</t>
  </si>
  <si>
    <t>DELISA AL SYAFANI</t>
  </si>
  <si>
    <t>FEBRIANA</t>
  </si>
  <si>
    <t>Adila Nisa Ardani</t>
  </si>
  <si>
    <t>FITO AZKHA ADITIYA</t>
  </si>
  <si>
    <t>Gilang Khoerul Anam</t>
  </si>
  <si>
    <t>DEWI SAPUTRI</t>
  </si>
  <si>
    <t>MUHAMMAD FABIAN ARDIANSYAH</t>
  </si>
  <si>
    <t>HABIB NUR MAULANA</t>
  </si>
  <si>
    <t>NAURA KHANSA EL HAZIMA</t>
  </si>
  <si>
    <t>MUHAMAD AFDAL SATRIA</t>
  </si>
  <si>
    <t>NOVY AULIA ZAHRA</t>
  </si>
  <si>
    <t>NAILA NUR AISYAH</t>
  </si>
  <si>
    <t>Alfin Nur Hasan</t>
  </si>
  <si>
    <t>OSHIGI DWI PURWANTO</t>
  </si>
  <si>
    <t>SHAFEA NURI AZZIZAH</t>
  </si>
  <si>
    <t>MUHAMAD DIAN SETIAWAN</t>
  </si>
  <si>
    <t>KHAIRINASIH AKMAL TAQI</t>
  </si>
  <si>
    <t>ANTIKA MAOLLA ZAHRO</t>
  </si>
  <si>
    <t>IQBAL KHOIRUL RAZIKIN</t>
  </si>
  <si>
    <t>NANDA GIO VANO</t>
  </si>
  <si>
    <t>AMEL FATMAWATI</t>
  </si>
  <si>
    <t>ULIL HUDA</t>
  </si>
  <si>
    <t>ARSENIO AKBAR WIRASENA</t>
  </si>
  <si>
    <t>SENANDUNG CINTA IZZATUNNISA</t>
  </si>
  <si>
    <t>AMIR HAMZAH</t>
  </si>
  <si>
    <t>ABIMAEL FATHONI</t>
  </si>
  <si>
    <t>ANATASYA MEY FADILLAH</t>
  </si>
  <si>
    <t>RINJANI WILUTAMA</t>
  </si>
  <si>
    <t>NABIL REZKY AL HIDAYAH</t>
  </si>
  <si>
    <t>M TEGAR ADI PRATAMA</t>
  </si>
  <si>
    <t>Barra Ardenta Mahadirga</t>
  </si>
  <si>
    <t>OKTA FELDIYAN SAH</t>
  </si>
  <si>
    <t>FAIZ KENZIE HAMIZAN</t>
  </si>
  <si>
    <t>DEWI ALMIRA IZZATY</t>
  </si>
  <si>
    <t>KHASBIATUL KHUSAIN</t>
  </si>
  <si>
    <t>ERWIN DWI SETIAWAN</t>
  </si>
  <si>
    <t>YUDHA ARRAFA</t>
  </si>
  <si>
    <t>FARHAN ALKAFF</t>
  </si>
  <si>
    <t>PITRA CAHYA GUMINTANG</t>
  </si>
  <si>
    <t>KARUNI AURELLIA SUROTO</t>
  </si>
  <si>
    <t>DWI SYIFAATUL MA'WA</t>
  </si>
  <si>
    <t>nama</t>
  </si>
  <si>
    <t>nisn</t>
  </si>
  <si>
    <t>nik</t>
  </si>
  <si>
    <t>FALLEN FIRDAUS GUNAWAN</t>
  </si>
  <si>
    <t>DELVITA ANGGIANA</t>
  </si>
  <si>
    <t>CHAILA AQILA PUTRI</t>
  </si>
  <si>
    <t>HANY MERYANDANI</t>
  </si>
  <si>
    <t>AZKA NAILA HUMAIRA</t>
  </si>
  <si>
    <t>sekolah_id</t>
  </si>
  <si>
    <t>npsn</t>
  </si>
  <si>
    <t>00C7C855-2DF5-E011-A71B-4FCECD211676</t>
  </si>
  <si>
    <t>SD NEGERI 2 KECEPIT</t>
  </si>
  <si>
    <t>90A0C355-2DF5-E011-8702-BDAAC1C63FB6</t>
  </si>
  <si>
    <t>SD NEGERI 1 PRENDENGAN</t>
  </si>
  <si>
    <t>7021C255-2DF5-E011-B8B6-59A4BB106C23</t>
  </si>
  <si>
    <t>SD NEGERI 1 CLAPAR</t>
  </si>
  <si>
    <t>0016C955-2DF5-E011-A24B-1DAA493F5183</t>
  </si>
  <si>
    <t>SD NEGERI 1 SAWANGAN</t>
  </si>
  <si>
    <t>2053BD55-2DF5-E011-8BBB-F1DD0A103ED8</t>
  </si>
  <si>
    <t>SD NEGERI 2 MAJALENGKA</t>
  </si>
  <si>
    <t>40B3B655-2DF5-E011-831A-8F2017F8F3CA</t>
  </si>
  <si>
    <t>SD NEGERI 3 PAGAK</t>
  </si>
  <si>
    <t>7026D255-2DF5-E011-80A6-EF30C3202104</t>
  </si>
  <si>
    <t>SD NEGERI 1 SUMBEREJO</t>
  </si>
  <si>
    <t>6086D555-2DF5-E011-95CB-D33E6E27C5CE</t>
  </si>
  <si>
    <t>SD NEGERI 1 KALIBOMBONG</t>
  </si>
  <si>
    <t>00673C59-2DF5-E011-93CD-DD39F293956D</t>
  </si>
  <si>
    <t>SD MUHAMMADIYAH 4 BANJARNEGARA</t>
  </si>
  <si>
    <t>0093CA55-2DF5-E011-BD01-2BC5B0B41FCB</t>
  </si>
  <si>
    <t>SD NEGERI 1 KARANGGONDANG</t>
  </si>
  <si>
    <t>500EC355-2DF5-E011-A835-5FD04A2AEA22</t>
  </si>
  <si>
    <t>SD NEGERI 1 CENDANA</t>
  </si>
  <si>
    <t>B008C855-2DF5-E011-B6A8-B7BA370E658B</t>
  </si>
  <si>
    <t>SD NEGERI 2 PUNGGELAN</t>
  </si>
  <si>
    <t>7025BE55-2DF5-E011-9373-43724474F268</t>
  </si>
  <si>
    <t>SD NEGERI 1 KRANDEGAN</t>
  </si>
  <si>
    <t>605DC855-2DF5-E011-BF8D-4967AAA78C50</t>
  </si>
  <si>
    <t>SD NEGERI 1 TLAGA</t>
  </si>
  <si>
    <t>E130A591-001E-4496-915F-4564650C61B9</t>
  </si>
  <si>
    <t>MADRASAH IBTIDAIYAH COKROAMINOTO LENGKONG</t>
  </si>
  <si>
    <t>E04BCB55-2DF5-E011-83F2-71D497E27128</t>
  </si>
  <si>
    <t>SDN 2 Karanggondang</t>
  </si>
  <si>
    <t>604DD355-2DF5-E011-846E-579BB35DBCE3</t>
  </si>
  <si>
    <t>SD NEGERI 1 PANDANSARI</t>
  </si>
  <si>
    <t>60A6B655-2DF5-E011-89AB-5D379DFFE069</t>
  </si>
  <si>
    <t>SD NEGERI 4 KECITRAN</t>
  </si>
  <si>
    <t>30D1BB55-2DF5-E011-8E50-E9801445C64D</t>
  </si>
  <si>
    <t>SD NEGERI 1 BANDINGAN</t>
  </si>
  <si>
    <t>D01CB855-2DF5-E011-B2AB-C98ECC834AF5</t>
  </si>
  <si>
    <t>SD NEGERI 3 PURWASABA</t>
  </si>
  <si>
    <t>A0CAC655-2DF5-E011-BCCC-63266DADE5FF</t>
  </si>
  <si>
    <t>SD NEGERI 1 LUWUNG</t>
  </si>
  <si>
    <t>53174049-FDC6-4CB9-BA43-3A7991B37CDB</t>
  </si>
  <si>
    <t>MIS COKROAMINOTO 01 BADAMITA</t>
  </si>
  <si>
    <t>90B4D355-2DF5-E011-9171-DB4E484A8875</t>
  </si>
  <si>
    <t>SD NEGERI 1 TEMPURAN</t>
  </si>
  <si>
    <t>F0E8AD63-ABDC-E211-9E7C-7FFB85D7433E</t>
  </si>
  <si>
    <t>SD NEGERI 1 BEJI</t>
  </si>
  <si>
    <t>60F87B1D-3A25-E111-A199-AB7ED113023E</t>
  </si>
  <si>
    <t>SD NEGERI 1 BLAMBANGAN</t>
  </si>
  <si>
    <t>7030C855-2DF5-E011-B9BD-1D424346E96E</t>
  </si>
  <si>
    <t>SD NEGERI 2 BONDOLHARJO</t>
  </si>
  <si>
    <t>C057C955-2DF5-E011-9EAE-D54689DDCBD7</t>
  </si>
  <si>
    <t>SD NEGERI 2 JEMBANGAN</t>
  </si>
  <si>
    <t>900494C5-C973-44BA-AC05-E77C67690270</t>
  </si>
  <si>
    <t>SDIT INSAN MANDIRI PUNGGELAN</t>
  </si>
  <si>
    <t>20B6B855-2DF5-E011-BCB4-AD898448D03A</t>
  </si>
  <si>
    <t>SD NEGERI 3 KEBANARAN</t>
  </si>
  <si>
    <t>6002B855-2DF5-E011-8A84-431B067CB9E2</t>
  </si>
  <si>
    <t>SD NEGERI 1 KEBAKALAN</t>
  </si>
  <si>
    <t>E0D7D155-2DF5-E011-B589-B114CA7496AF</t>
  </si>
  <si>
    <t>SD NEGERI 2 CONDONGCAMPUR</t>
  </si>
  <si>
    <t>2019D255-2DF5-E011-BF6E-932DB9907214</t>
  </si>
  <si>
    <t>SD NEGERI 5 BATUR</t>
  </si>
  <si>
    <t>A05ABE55-2DF5-E011-BB43-D3651BFD9DA1</t>
  </si>
  <si>
    <t>SD NEGERI 4 KRANDEGAN</t>
  </si>
  <si>
    <t>A06F5AD1-05B6-E111-BDCF-712A786325C6</t>
  </si>
  <si>
    <t>SD IT PERMATA HATI PETAMBAKAN</t>
  </si>
  <si>
    <t>80F8BB55-2DF5-E011-A484-1FF784BFA9E1</t>
  </si>
  <si>
    <t>SD NEGERI 1 LEBAKWANGI</t>
  </si>
  <si>
    <t>60B0C655-2DF5-E011-A416-1F7820C88B94</t>
  </si>
  <si>
    <t>SD NEGERI 1 LENGKONG</t>
  </si>
  <si>
    <t>9006C255-2DF5-E011-B811-7B466C0F8168</t>
  </si>
  <si>
    <t>SD NEGERI KUTAYASA</t>
  </si>
  <si>
    <t>F019C755-2DF5-E011-85BB-69FA8F8CBD69</t>
  </si>
  <si>
    <t>SD NEGERI 2 GELANG</t>
  </si>
  <si>
    <t>400EC055-2DF5-E011-BD0D-A956EB840D80</t>
  </si>
  <si>
    <t>SD NEGERI 3 PAGEDONGAN</t>
  </si>
  <si>
    <t>5021D355-2DF5-E011-BE5B-3B7082823694</t>
  </si>
  <si>
    <t>SD NEGERI 1 PESANTREN</t>
  </si>
  <si>
    <t>408ABF55-2DF5-E011-B053-DDB06B098764</t>
  </si>
  <si>
    <t>SD NEGERI 2 TLAGAWERA</t>
  </si>
  <si>
    <t>808ABC55-2DF5-E011-B029-E5AB1391107B</t>
  </si>
  <si>
    <t>SD NEGERI 1 WINONG</t>
  </si>
  <si>
    <t>7A2322A5-3851-4CC6-83E7-0BF15D6E03FE</t>
  </si>
  <si>
    <t>MIS MUHAMMADIYAH WANAYASA</t>
  </si>
  <si>
    <t>E017BE55-2DF5-E011-86BF-EFC456463227</t>
  </si>
  <si>
    <t>SD NEGERI 4 WANADRI</t>
  </si>
  <si>
    <t>F012D355-2DF5-E011-A8E2-05CD367136DB</t>
  </si>
  <si>
    <t>SD NEGERI 1 WANAYASA</t>
  </si>
  <si>
    <t>F043B255-2DF5-E011-8B64-3784366F4E1F</t>
  </si>
  <si>
    <t>SD NEGERI 1 GUMELEM WETAN</t>
  </si>
  <si>
    <t>2050C855-2DF5-E011-9379-4BAF9B049879</t>
  </si>
  <si>
    <t>SD NEGERI 1 PETUGURAN</t>
  </si>
  <si>
    <t>A068B555-2DF5-E011-81B7-AB3936738E70</t>
  </si>
  <si>
    <t>SD NEGERI 4 KLAMPOK</t>
  </si>
  <si>
    <t>B0EEC855-2DF5-E011-BD15-CBAFCEBDE68C</t>
  </si>
  <si>
    <t>SD NEGERI KLAPA</t>
  </si>
  <si>
    <t>4007B655-2DF5-E011-ABC0-6104C26EF768</t>
  </si>
  <si>
    <t>SD NEGERI 5 PURWAREJA</t>
  </si>
  <si>
    <t>F71CBB1F-DF59-40B4-9BBE-AFA1BED8B314</t>
  </si>
  <si>
    <t>MIS AL MAARIF GELANG</t>
  </si>
  <si>
    <t>4063C255-2DF5-E011-A38D-479225BEAECA</t>
  </si>
  <si>
    <t>SD NEGERI PENAWANGAN</t>
  </si>
  <si>
    <t>A044B855-2DF5-E011-AF5A-BFAF5382C433</t>
  </si>
  <si>
    <t>SD NEGERI 3 MANDIRAJA WETAN</t>
  </si>
  <si>
    <t>10C3D055-2DF5-E011-A7BD-D30F65DA4A70</t>
  </si>
  <si>
    <t>SD NEGERI 1 GROGOL</t>
  </si>
  <si>
    <t>C013BF55-2DF5-E011-9E4E-7F13E74E6CD5</t>
  </si>
  <si>
    <t>SD NEGERI 1 ARGASOKA</t>
  </si>
  <si>
    <t>6764841C-0C31-40FC-8C55-BE67B2304D09</t>
  </si>
  <si>
    <t>MIS MAARIF KLAPA</t>
  </si>
  <si>
    <t>4056BC55-2DF5-E011-9C98-C570D0215475</t>
  </si>
  <si>
    <t>SD NEGERI 1 MAJALENGKA</t>
  </si>
  <si>
    <t>105FB855-2DF5-E011-AD93-C919C546F037</t>
  </si>
  <si>
    <t>SD NEGERI 3 MANDIRAJA KULON</t>
  </si>
  <si>
    <t>A6F99D00-F0E9-49F4-8A8B-1600D3C8564F</t>
  </si>
  <si>
    <t>MIS NU KINCANG</t>
  </si>
  <si>
    <t>3075BE55-2DF5-E011-AE2C-B94C79E0FECC</t>
  </si>
  <si>
    <t>SD NEGERI 1 KUTABANJARNEGARA</t>
  </si>
  <si>
    <t>907ABD55-2DF5-E011-A68A-6322468137CA</t>
  </si>
  <si>
    <t>SD NEGERI 2 BINORONG</t>
  </si>
  <si>
    <t>4095B855-2DF5-E011-8003-45BF44B50837</t>
  </si>
  <si>
    <t>SD NEGERI 4 PURWASABA</t>
  </si>
  <si>
    <t>207DBF55-2DF5-E011-8B37-CD1D51D3DBB9</t>
  </si>
  <si>
    <t>SD NEGERI 1 TLAGAWERA</t>
  </si>
  <si>
    <t>803CB655-2DF5-E011-B99F-CF66145E84E7</t>
  </si>
  <si>
    <t>SD NEGERI 3 KALIWINASUH</t>
  </si>
  <si>
    <t>60BAD555-2DF5-E011-B469-2D2E5A0AFD1B</t>
  </si>
  <si>
    <t>SD NEGERI 1 PASEGERAN</t>
  </si>
  <si>
    <t>EE02A802-1B7F-4515-BCE9-D0C7C88539F9</t>
  </si>
  <si>
    <t>MIS NU 02 SITUWANGI</t>
  </si>
  <si>
    <t>806BCA55-2DF5-E011-B227-BF8A4196B81F</t>
  </si>
  <si>
    <t>SD NEGERI 01 LEKSANA</t>
  </si>
  <si>
    <t>C000D755-2DF5-E011-B97E-C9229252B54E</t>
  </si>
  <si>
    <t>SD NEGERI 1 PANDANARUM</t>
  </si>
  <si>
    <t>90ACC755-2DF5-E011-B07A-3367282A230C</t>
  </si>
  <si>
    <t>SD NEGERI 5 LENGKONG</t>
  </si>
  <si>
    <t>70F9C155-2DF5-E011-8925-333A91567E9E</t>
  </si>
  <si>
    <t>SD NEGERI 1 GUNUNGGIANA</t>
  </si>
  <si>
    <t>404AB355-2DF5-E011-8E9A-FD847D4A0D28</t>
  </si>
  <si>
    <t>SD NEGERI PIASA WETAN</t>
  </si>
  <si>
    <t>C0EDD355-2DF5-E011-9349-674A6FF36591</t>
  </si>
  <si>
    <t>SD NEGERI 2 PANDANSARI</t>
  </si>
  <si>
    <t>20D4C855-2DF5-E011-B136-D1494C0E693A</t>
  </si>
  <si>
    <t>SD NEGERI 1 DANAKERTA</t>
  </si>
  <si>
    <t>99560772-82FC-4D2C-9375-4D1994CE3FCF</t>
  </si>
  <si>
    <t>MIS COKROAMINOTO TANJUNGTIRTA</t>
  </si>
  <si>
    <t>E001BE53-2DF5-E011-899A-E3A1240B1E3B</t>
  </si>
  <si>
    <t>SD NEGERI 3 KEBONDALEM</t>
  </si>
  <si>
    <t>563EB08C-5E6C-4AE0-864A-BCD188C44A75</t>
  </si>
  <si>
    <t>MIS COKROAMINOTO 02 PETUGURAN</t>
  </si>
  <si>
    <t>40DAB755-2DF5-E011-A6BA-EF035228F163</t>
  </si>
  <si>
    <t>SD NEGERI 1 SOMAWANGI</t>
  </si>
  <si>
    <t>4003C555-2DF5-E011-A0A0-B5A41D115A94</t>
  </si>
  <si>
    <t>SD NEGERI 1 KEPAKISAN</t>
  </si>
  <si>
    <t>6079C055-2DF5-E011-9B77-D303F77FB572</t>
  </si>
  <si>
    <t>SD NEGERI 2 SOKAYASA</t>
  </si>
  <si>
    <t>E0BEBF55-2DF5-E011-9FDD-9FFA59AABED4</t>
  </si>
  <si>
    <t>SD NEGERI 2 AMPELSARI</t>
  </si>
  <si>
    <t>E02CB455-2DF5-E011-8D32-457C3956D275</t>
  </si>
  <si>
    <t>SD NEGERI 3 BERTA</t>
  </si>
  <si>
    <t>1174A0F6-5824-49D8-929A-0037B0487182</t>
  </si>
  <si>
    <t>MIS COKROAMINOTO 02 BADAMITA</t>
  </si>
  <si>
    <t>sekolah</t>
  </si>
  <si>
    <t>RACHEL ASRILLA SETYAWAN</t>
  </si>
  <si>
    <t>0137503011</t>
  </si>
  <si>
    <t>3134949069</t>
  </si>
  <si>
    <t>0146919299</t>
  </si>
  <si>
    <t>SD NEGERI 1 LAWEN</t>
  </si>
  <si>
    <t>SD NEGERI 2 MANTRIANOM</t>
  </si>
  <si>
    <t>0145376979</t>
  </si>
  <si>
    <t>0137428305</t>
  </si>
  <si>
    <t>3143343484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</si>
</sst>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0B4B7-EF17-4297-BF67-6B434FC0457D}" name="Table1" displayName="Table1" ref="A1:F204" totalsRowShown="0">
  <autoFilter ref="A1:F204" xr:uid="{74F0B4B7-EF17-4297-BF67-6B434FC0457D}"/>
  <sortState xmlns:xlrd2="http://schemas.microsoft.com/office/spreadsheetml/2017/richdata2" ref="A2:C204">
    <sortCondition ref="A1:A204"/>
  </sortState>
  <tableColumns count="6">
    <tableColumn id="1" xr3:uid="{7C51F539-4D75-492C-BD04-2F64E4A43379}" name="nama"/>
    <tableColumn id="2" xr3:uid="{22BEB657-1C48-402B-A9F9-74D62BBB9EAA}" name="nisn"/>
    <tableColumn id="3" xr3:uid="{29DDF1F4-F1C7-4F6D-AF89-9F895AD4ECD3}" name="nik" dataDxfId="3"/>
    <tableColumn id="4" xr3:uid="{9580AC21-02E3-4D4E-9D36-A35B1A498750}" name="sekolah_id" dataDxfId="2">
      <calculatedColumnFormula>VLOOKUP(Table1[[#This Row],[nisn]],Table3[],3,FALSE)</calculatedColumnFormula>
    </tableColumn>
    <tableColumn id="5" xr3:uid="{3AB34865-26CB-4F02-846A-7971ADEAB072}" name="sekolah" dataDxfId="1">
      <calculatedColumnFormula>VLOOKUP(Table1[[#This Row],[sekolah_id]],Table4[],2,FALSE)</calculatedColumnFormula>
    </tableColumn>
    <tableColumn id="6" xr3:uid="{78D7E3B2-3F60-4801-AC8D-60D5AB7BBA96}" name="npsn" dataDxfId="0">
      <calculatedColumnFormula>VLOOKUP(Table1[[#This Row],[sekolah_id]],Table4[],3,FALSE)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E8FE18-3D70-4F3C-A632-335818719E79}" name="Table3" displayName="Table3" ref="H1:J1048576" totalsRowShown="0">
  <autoFilter ref="H1:J1048576" xr:uid="{17E8FE18-3D70-4F3C-A632-335818719E79}"/>
  <tableColumns count="3">
    <tableColumn id="1" xr3:uid="{DF0CE6A8-0A00-4915-A5DE-3753C6D26414}" name="nisn"/>
    <tableColumn id="2" xr3:uid="{4423EC9F-62DF-4FEB-855A-893437AB2379}" name="nama"/>
    <tableColumn id="3" xr3:uid="{ACA26D55-75F0-4E89-8EEC-6D6812127325}" name="sekolah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F5887E-888B-466A-89EC-20C667AA5935}" name="Table4" displayName="Table4" ref="L1:N83" totalsRowShown="0">
  <autoFilter ref="L1:N83" xr:uid="{05F5887E-888B-466A-89EC-20C667AA5935}"/>
  <tableColumns count="3">
    <tableColumn id="1" xr3:uid="{359377EC-808F-4AF6-B350-B52430274FB9}" name="sekolah_id"/>
    <tableColumn id="2" xr3:uid="{39CEA728-1C31-49A9-B405-521C5382AB44}" name="nama"/>
    <tableColumn id="3" xr3:uid="{8DDC745A-EDD1-4368-900F-6090E54F3F8B}" name="nps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A89-E0D5-4958-865F-C74697617B5B}">
  <dimension ref="A1:N204"/>
  <sheetViews>
    <sheetView workbookViewId="0">
      <selection activeCell="C15" sqref="C15"/>
    </sheetView>
  </sheetViews>
  <sheetFormatPr defaultRowHeight="15" x14ac:dyDescent="0.25"/>
  <cols>
    <col min="1" max="1" width="25.5703125" customWidth="1"/>
    <col min="2" max="2" width="11" bestFit="1" customWidth="1"/>
    <col min="3" max="3" width="19.85546875" style="1" bestFit="1" customWidth="1"/>
    <col min="4" max="4" width="12.140625" style="1" customWidth="1"/>
    <col min="5" max="5" width="48.85546875" style="1" bestFit="1" customWidth="1"/>
    <col min="6" max="6" width="15.5703125" style="1" customWidth="1"/>
    <col min="8" max="8" width="11" bestFit="1" customWidth="1"/>
    <col min="9" max="9" width="40.42578125" bestFit="1" customWidth="1"/>
    <col min="10" max="10" width="39.42578125" bestFit="1" customWidth="1"/>
    <col min="11" max="11" width="11.7109375" customWidth="1"/>
    <col min="12" max="12" width="39.42578125" bestFit="1" customWidth="1"/>
  </cols>
  <sheetData>
    <row r="1" spans="1:14" x14ac:dyDescent="0.25">
      <c r="A1" t="s">
        <v>194</v>
      </c>
      <c r="B1" t="s">
        <v>195</v>
      </c>
      <c r="C1" s="1" t="s">
        <v>196</v>
      </c>
      <c r="D1" s="1" t="s">
        <v>202</v>
      </c>
      <c r="E1" s="1" t="s">
        <v>368</v>
      </c>
      <c r="F1" s="1" t="s">
        <v>203</v>
      </c>
      <c r="H1" t="s">
        <v>195</v>
      </c>
      <c r="I1" t="s">
        <v>194</v>
      </c>
      <c r="J1" t="s">
        <v>202</v>
      </c>
      <c r="L1" t="s">
        <v>202</v>
      </c>
      <c r="M1" t="s">
        <v>194</v>
      </c>
      <c r="N1" t="s">
        <v>203</v>
      </c>
    </row>
    <row r="2" spans="1:14" x14ac:dyDescent="0.25">
      <c r="A2" t="s">
        <v>74</v>
      </c>
      <c r="B2">
        <v>3147431340</v>
      </c>
      <c r="C2" s="1">
        <v>3304090312140000</v>
      </c>
      <c r="D2" s="1" t="str">
        <f>VLOOKUP(Table1[[#This Row],[nisn]],Table3[],3,FALSE)</f>
        <v>90A0C355-2DF5-E011-8702-BDAAC1C63FB6</v>
      </c>
      <c r="E2" s="1" t="str">
        <f>VLOOKUP(Table1[[#This Row],[sekolah_id]],Table4[],2,FALSE)</f>
        <v>SD NEGERI 1 PRENDENGAN</v>
      </c>
      <c r="F2" s="1">
        <f>VLOOKUP(Table1[[#This Row],[sekolah_id]],Table4[],3,FALSE)</f>
        <v>20304419</v>
      </c>
      <c r="H2">
        <v>143973604</v>
      </c>
      <c r="I2" t="s">
        <v>0</v>
      </c>
      <c r="J2" t="s">
        <v>316</v>
      </c>
      <c r="L2" t="s">
        <v>204</v>
      </c>
      <c r="M2" t="s">
        <v>205</v>
      </c>
      <c r="N2">
        <v>20303837</v>
      </c>
    </row>
    <row r="3" spans="1:14" x14ac:dyDescent="0.25">
      <c r="A3" t="s">
        <v>178</v>
      </c>
      <c r="B3">
        <v>149077047</v>
      </c>
      <c r="C3" s="1">
        <v>3304091812140000</v>
      </c>
      <c r="D3" s="1" t="str">
        <f>VLOOKUP(Table1[[#This Row],[nisn]],Table3[],3,FALSE)</f>
        <v>90A0C355-2DF5-E011-8702-BDAAC1C63FB6</v>
      </c>
      <c r="E3" s="1" t="str">
        <f>VLOOKUP(Table1[[#This Row],[sekolah_id]],Table4[],2,FALSE)</f>
        <v>SD NEGERI 1 PRENDENGAN</v>
      </c>
      <c r="F3" s="1">
        <f>VLOOKUP(Table1[[#This Row],[sekolah_id]],Table4[],3,FALSE)</f>
        <v>20304419</v>
      </c>
      <c r="H3">
        <v>141716945</v>
      </c>
      <c r="I3" t="s">
        <v>1</v>
      </c>
      <c r="J3" t="s">
        <v>260</v>
      </c>
      <c r="L3" t="s">
        <v>206</v>
      </c>
      <c r="M3" t="s">
        <v>207</v>
      </c>
      <c r="N3">
        <v>20304419</v>
      </c>
    </row>
    <row r="4" spans="1:14" x14ac:dyDescent="0.25">
      <c r="A4" t="s">
        <v>123</v>
      </c>
      <c r="B4">
        <v>152117786</v>
      </c>
      <c r="C4" s="1">
        <v>3304172404150000</v>
      </c>
      <c r="D4" s="1" t="str">
        <f>VLOOKUP(Table1[[#This Row],[nisn]],Table3[],3,FALSE)</f>
        <v>5021D355-2DF5-E011-BE5B-3B7082823694</v>
      </c>
      <c r="E4" s="1" t="str">
        <f>VLOOKUP(Table1[[#This Row],[sekolah_id]],Table4[],2,FALSE)</f>
        <v>SD NEGERI 1 PESANTREN</v>
      </c>
      <c r="F4" s="1">
        <f>VLOOKUP(Table1[[#This Row],[sekolah_id]],Table4[],3,FALSE)</f>
        <v>20304468</v>
      </c>
      <c r="H4">
        <v>3146505319</v>
      </c>
      <c r="I4" t="s">
        <v>2</v>
      </c>
      <c r="J4" t="s">
        <v>272</v>
      </c>
      <c r="L4" t="s">
        <v>208</v>
      </c>
      <c r="M4" t="s">
        <v>209</v>
      </c>
      <c r="N4">
        <v>20304549</v>
      </c>
    </row>
    <row r="5" spans="1:14" x14ac:dyDescent="0.25">
      <c r="A5" t="s">
        <v>37</v>
      </c>
      <c r="B5">
        <v>134018968</v>
      </c>
      <c r="C5" s="1">
        <v>3304081508130000</v>
      </c>
      <c r="D5" s="1" t="str">
        <f>VLOOKUP(Table1[[#This Row],[nisn]],Table3[],3,FALSE)</f>
        <v>9006C255-2DF5-E011-B811-7B466C0F8168</v>
      </c>
      <c r="E5" s="1" t="str">
        <f>VLOOKUP(Table1[[#This Row],[sekolah_id]],Table4[],2,FALSE)</f>
        <v>SD NEGERI KUTAYASA</v>
      </c>
      <c r="F5" s="1">
        <f>VLOOKUP(Table1[[#This Row],[sekolah_id]],Table4[],3,FALSE)</f>
        <v>20304633</v>
      </c>
      <c r="H5">
        <v>3141279145</v>
      </c>
      <c r="I5" t="s">
        <v>3</v>
      </c>
      <c r="J5" t="s">
        <v>226</v>
      </c>
      <c r="L5" t="s">
        <v>210</v>
      </c>
      <c r="M5" t="s">
        <v>211</v>
      </c>
      <c r="N5">
        <v>20304432</v>
      </c>
    </row>
    <row r="6" spans="1:14" x14ac:dyDescent="0.25">
      <c r="A6" t="s">
        <v>155</v>
      </c>
      <c r="B6">
        <v>3171553749</v>
      </c>
      <c r="C6" s="1">
        <v>6109015102170000</v>
      </c>
      <c r="D6" s="1" t="str">
        <f>VLOOKUP(Table1[[#This Row],[nisn]],Table3[],3,FALSE)</f>
        <v>6079C055-2DF5-E011-9B77-D303F77FB572</v>
      </c>
      <c r="E6" s="1" t="str">
        <f>VLOOKUP(Table1[[#This Row],[sekolah_id]],Table4[],2,FALSE)</f>
        <v>SD NEGERI 2 SOKAYASA</v>
      </c>
      <c r="F6" s="1">
        <f>VLOOKUP(Table1[[#This Row],[sekolah_id]],Table4[],3,FALSE)</f>
        <v>20303750</v>
      </c>
      <c r="H6">
        <v>144813452</v>
      </c>
      <c r="I6" t="s">
        <v>4</v>
      </c>
      <c r="J6" t="s">
        <v>250</v>
      </c>
      <c r="L6" t="s">
        <v>212</v>
      </c>
      <c r="M6" t="s">
        <v>213</v>
      </c>
      <c r="N6">
        <v>20340961</v>
      </c>
    </row>
    <row r="7" spans="1:14" x14ac:dyDescent="0.25">
      <c r="A7" t="s">
        <v>1</v>
      </c>
      <c r="B7">
        <v>141716945</v>
      </c>
      <c r="C7" s="1">
        <v>3304037011140000</v>
      </c>
      <c r="D7" s="1" t="str">
        <f>VLOOKUP(Table1[[#This Row],[nisn]],Table3[],3,FALSE)</f>
        <v>20B6B855-2DF5-E011-BCB4-AD898448D03A</v>
      </c>
      <c r="E7" s="1" t="str">
        <f>VLOOKUP(Table1[[#This Row],[sekolah_id]],Table4[],2,FALSE)</f>
        <v>SD NEGERI 3 KEBANARAN</v>
      </c>
      <c r="F7" s="1">
        <f>VLOOKUP(Table1[[#This Row],[sekolah_id]],Table4[],3,FALSE)</f>
        <v>20338255</v>
      </c>
      <c r="H7">
        <v>147901015</v>
      </c>
      <c r="I7" t="s">
        <v>5</v>
      </c>
      <c r="J7" t="s">
        <v>316</v>
      </c>
      <c r="L7" t="s">
        <v>214</v>
      </c>
      <c r="M7" t="s">
        <v>215</v>
      </c>
      <c r="N7">
        <v>20303759</v>
      </c>
    </row>
    <row r="8" spans="1:14" x14ac:dyDescent="0.25">
      <c r="A8" t="s">
        <v>1</v>
      </c>
      <c r="B8">
        <v>141716945</v>
      </c>
      <c r="C8" s="1">
        <v>3304037011140000</v>
      </c>
      <c r="D8" s="1" t="str">
        <f>VLOOKUP(Table1[[#This Row],[nisn]],Table3[],3,FALSE)</f>
        <v>20B6B855-2DF5-E011-BCB4-AD898448D03A</v>
      </c>
      <c r="E8" s="1" t="str">
        <f>VLOOKUP(Table1[[#This Row],[sekolah_id]],Table4[],2,FALSE)</f>
        <v>SD NEGERI 3 KEBANARAN</v>
      </c>
      <c r="F8" s="1">
        <f>VLOOKUP(Table1[[#This Row],[sekolah_id]],Table4[],3,FALSE)</f>
        <v>20338255</v>
      </c>
      <c r="H8">
        <v>138663557</v>
      </c>
      <c r="I8" t="s">
        <v>6</v>
      </c>
      <c r="J8" t="s">
        <v>260</v>
      </c>
      <c r="L8" t="s">
        <v>216</v>
      </c>
      <c r="M8" t="s">
        <v>217</v>
      </c>
      <c r="N8">
        <v>20304521</v>
      </c>
    </row>
    <row r="9" spans="1:14" x14ac:dyDescent="0.25">
      <c r="A9" t="s">
        <v>19</v>
      </c>
      <c r="B9">
        <v>3161556705</v>
      </c>
      <c r="C9" s="1">
        <v>3304130407160000</v>
      </c>
      <c r="D9" s="1" t="str">
        <f>VLOOKUP(Table1[[#This Row],[nisn]],Table3[],3,FALSE)</f>
        <v>E04BCB55-2DF5-E011-83F2-71D497E27128</v>
      </c>
      <c r="E9" s="1" t="str">
        <f>VLOOKUP(Table1[[#This Row],[sekolah_id]],Table4[],2,FALSE)</f>
        <v>SDN 2 Karanggondang</v>
      </c>
      <c r="F9" s="1">
        <f>VLOOKUP(Table1[[#This Row],[sekolah_id]],Table4[],3,FALSE)</f>
        <v>20303819</v>
      </c>
      <c r="H9">
        <v>131720950</v>
      </c>
      <c r="I9" t="s">
        <v>7</v>
      </c>
      <c r="J9" t="s">
        <v>228</v>
      </c>
      <c r="L9" t="s">
        <v>218</v>
      </c>
      <c r="M9" t="s">
        <v>219</v>
      </c>
      <c r="N9">
        <v>20304635</v>
      </c>
    </row>
    <row r="10" spans="1:14" x14ac:dyDescent="0.25">
      <c r="A10" t="s">
        <v>3</v>
      </c>
      <c r="B10">
        <v>3141279145</v>
      </c>
      <c r="C10" s="1">
        <v>3304121002140000</v>
      </c>
      <c r="D10" s="1" t="str">
        <f>VLOOKUP(Table1[[#This Row],[nisn]],Table3[],3,FALSE)</f>
        <v>B008C855-2DF5-E011-B6A8-B7BA370E658B</v>
      </c>
      <c r="E10" s="1" t="str">
        <f>VLOOKUP(Table1[[#This Row],[sekolah_id]],Table4[],2,FALSE)</f>
        <v>SD NEGERI 2 PUNGGELAN</v>
      </c>
      <c r="F10" s="1">
        <f>VLOOKUP(Table1[[#This Row],[sekolah_id]],Table4[],3,FALSE)</f>
        <v>20303899</v>
      </c>
      <c r="H10">
        <v>3138577757</v>
      </c>
      <c r="I10" t="s">
        <v>8</v>
      </c>
      <c r="J10" t="s">
        <v>242</v>
      </c>
      <c r="L10" t="s">
        <v>220</v>
      </c>
      <c r="M10" t="s">
        <v>221</v>
      </c>
      <c r="N10">
        <v>20304248</v>
      </c>
    </row>
    <row r="11" spans="1:14" x14ac:dyDescent="0.25">
      <c r="A11" t="s">
        <v>10</v>
      </c>
      <c r="B11">
        <v>145688780</v>
      </c>
      <c r="C11" s="1">
        <v>3304020912140000</v>
      </c>
      <c r="D11" s="1" t="str">
        <f>VLOOKUP(Table1[[#This Row],[nisn]],Table3[],3,FALSE)</f>
        <v>A068B555-2DF5-E011-81B7-AB3936738E70</v>
      </c>
      <c r="E11" s="1" t="str">
        <f>VLOOKUP(Table1[[#This Row],[sekolah_id]],Table4[],2,FALSE)</f>
        <v>SD NEGERI 4 KLAMPOK</v>
      </c>
      <c r="F11" s="1">
        <f>VLOOKUP(Table1[[#This Row],[sekolah_id]],Table4[],3,FALSE)</f>
        <v>20304055</v>
      </c>
      <c r="H11">
        <v>3148879897</v>
      </c>
      <c r="I11" t="s">
        <v>9</v>
      </c>
      <c r="J11" t="s">
        <v>292</v>
      </c>
      <c r="L11" t="s">
        <v>222</v>
      </c>
      <c r="M11" t="s">
        <v>223</v>
      </c>
      <c r="N11">
        <v>20304649</v>
      </c>
    </row>
    <row r="12" spans="1:14" x14ac:dyDescent="0.25">
      <c r="A12" t="s">
        <v>70</v>
      </c>
      <c r="B12">
        <v>3147446643</v>
      </c>
      <c r="C12" s="1">
        <v>3304091412140000</v>
      </c>
      <c r="D12" s="1" t="str">
        <f>VLOOKUP(Table1[[#This Row],[nisn]],Table3[],3,FALSE)</f>
        <v>90A0C355-2DF5-E011-8702-BDAAC1C63FB6</v>
      </c>
      <c r="E12" s="1" t="str">
        <f>VLOOKUP(Table1[[#This Row],[sekolah_id]],Table4[],2,FALSE)</f>
        <v>SD NEGERI 1 PRENDENGAN</v>
      </c>
      <c r="F12" s="1">
        <f>VLOOKUP(Table1[[#This Row],[sekolah_id]],Table4[],3,FALSE)</f>
        <v>20304419</v>
      </c>
      <c r="H12">
        <v>145688780</v>
      </c>
      <c r="I12" t="s">
        <v>10</v>
      </c>
      <c r="J12" t="s">
        <v>298</v>
      </c>
      <c r="L12" t="s">
        <v>224</v>
      </c>
      <c r="M12" t="s">
        <v>225</v>
      </c>
      <c r="N12">
        <v>20304576</v>
      </c>
    </row>
    <row r="13" spans="1:14" x14ac:dyDescent="0.25">
      <c r="A13" t="s">
        <v>31</v>
      </c>
      <c r="B13">
        <v>3140780250</v>
      </c>
      <c r="C13" s="1">
        <v>3304031510140000</v>
      </c>
      <c r="D13" s="1" t="str">
        <f>VLOOKUP(Table1[[#This Row],[nisn]],Table3[],3,FALSE)</f>
        <v>60A6B655-2DF5-E011-89AB-5D379DFFE069</v>
      </c>
      <c r="E13" s="1" t="str">
        <f>VLOOKUP(Table1[[#This Row],[sekolah_id]],Table4[],2,FALSE)</f>
        <v>SD NEGERI 4 KECITRAN</v>
      </c>
      <c r="F13" s="1">
        <f>VLOOKUP(Table1[[#This Row],[sekolah_id]],Table4[],3,FALSE)</f>
        <v>20304056</v>
      </c>
      <c r="H13">
        <v>3155857692</v>
      </c>
      <c r="I13" t="s">
        <v>11</v>
      </c>
      <c r="J13" t="s">
        <v>300</v>
      </c>
      <c r="L13" t="s">
        <v>226</v>
      </c>
      <c r="M13" t="s">
        <v>227</v>
      </c>
      <c r="N13">
        <v>20303899</v>
      </c>
    </row>
    <row r="14" spans="1:14" x14ac:dyDescent="0.25">
      <c r="A14" t="s">
        <v>112</v>
      </c>
      <c r="B14">
        <v>3140290060</v>
      </c>
      <c r="C14" s="1">
        <v>3304094612140000</v>
      </c>
      <c r="D14" s="1" t="str">
        <f>VLOOKUP(Table1[[#This Row],[nisn]],Table3[],3,FALSE)</f>
        <v>90A0C355-2DF5-E011-8702-BDAAC1C63FB6</v>
      </c>
      <c r="E14" s="1" t="str">
        <f>VLOOKUP(Table1[[#This Row],[sekolah_id]],Table4[],2,FALSE)</f>
        <v>SD NEGERI 1 PRENDENGAN</v>
      </c>
      <c r="F14" s="1">
        <f>VLOOKUP(Table1[[#This Row],[sekolah_id]],Table4[],3,FALSE)</f>
        <v>20304419</v>
      </c>
      <c r="H14">
        <v>136829376</v>
      </c>
      <c r="I14" t="s">
        <v>12</v>
      </c>
      <c r="J14" t="s">
        <v>272</v>
      </c>
      <c r="L14" t="s">
        <v>228</v>
      </c>
      <c r="M14" t="s">
        <v>229</v>
      </c>
      <c r="N14">
        <v>20304607</v>
      </c>
    </row>
    <row r="15" spans="1:14" x14ac:dyDescent="0.25">
      <c r="A15" t="s">
        <v>16</v>
      </c>
      <c r="B15">
        <v>137377499</v>
      </c>
      <c r="C15" s="1">
        <v>3304120104130000</v>
      </c>
      <c r="D15" s="1" t="str">
        <f>VLOOKUP(Table1[[#This Row],[nisn]],Table3[],3,FALSE)</f>
        <v>B0EEC855-2DF5-E011-BD15-CBAFCEBDE68C</v>
      </c>
      <c r="E15" s="1" t="str">
        <f>VLOOKUP(Table1[[#This Row],[sekolah_id]],Table4[],2,FALSE)</f>
        <v>SD NEGERI KLAPA</v>
      </c>
      <c r="F15" s="1">
        <f>VLOOKUP(Table1[[#This Row],[sekolah_id]],Table4[],3,FALSE)</f>
        <v>20304137</v>
      </c>
      <c r="H15">
        <v>3149847531</v>
      </c>
      <c r="I15" t="s">
        <v>13</v>
      </c>
      <c r="J15" t="s">
        <v>234</v>
      </c>
      <c r="L15" t="s">
        <v>230</v>
      </c>
      <c r="M15" t="s">
        <v>231</v>
      </c>
      <c r="N15">
        <v>20304528</v>
      </c>
    </row>
    <row r="16" spans="1:14" x14ac:dyDescent="0.25">
      <c r="A16" t="s">
        <v>88</v>
      </c>
      <c r="B16">
        <v>132565759</v>
      </c>
      <c r="C16" s="1">
        <v>3304172810130000</v>
      </c>
      <c r="D16" s="1" t="str">
        <f>VLOOKUP(Table1[[#This Row],[nisn]],Table3[],3,FALSE)</f>
        <v>90B4D355-2DF5-E011-9171-DB4E484A8875</v>
      </c>
      <c r="E16" s="1" t="str">
        <f>VLOOKUP(Table1[[#This Row],[sekolah_id]],Table4[],2,FALSE)</f>
        <v>SD NEGERI 1 TEMPURAN</v>
      </c>
      <c r="F16" s="1">
        <f>VLOOKUP(Table1[[#This Row],[sekolah_id]],Table4[],3,FALSE)</f>
        <v>20304529</v>
      </c>
      <c r="H16">
        <v>3140496088</v>
      </c>
      <c r="I16" t="s">
        <v>14</v>
      </c>
      <c r="J16" t="s">
        <v>234</v>
      </c>
      <c r="L16" t="s">
        <v>232</v>
      </c>
      <c r="M16" t="s">
        <v>233</v>
      </c>
      <c r="N16">
        <v>60710838</v>
      </c>
    </row>
    <row r="17" spans="1:14" x14ac:dyDescent="0.25">
      <c r="A17" t="s">
        <v>64</v>
      </c>
      <c r="B17">
        <v>143599674</v>
      </c>
      <c r="C17" s="1">
        <v>3304191701140000</v>
      </c>
      <c r="D17" s="1" t="str">
        <f>VLOOKUP(Table1[[#This Row],[nisn]],Table3[],3,FALSE)</f>
        <v>60BAD555-2DF5-E011-B469-2D2E5A0AFD1B</v>
      </c>
      <c r="E17" s="1" t="str">
        <f>VLOOKUP(Table1[[#This Row],[sekolah_id]],Table4[],2,FALSE)</f>
        <v>SD NEGERI 1 PASEGERAN</v>
      </c>
      <c r="F17" s="1">
        <f>VLOOKUP(Table1[[#This Row],[sekolah_id]],Table4[],3,FALSE)</f>
        <v>20304463</v>
      </c>
      <c r="H17">
        <v>3141063799</v>
      </c>
      <c r="I17" t="s">
        <v>15</v>
      </c>
      <c r="J17" t="s">
        <v>294</v>
      </c>
      <c r="L17" t="s">
        <v>234</v>
      </c>
      <c r="M17" t="s">
        <v>235</v>
      </c>
      <c r="N17">
        <v>20303819</v>
      </c>
    </row>
    <row r="18" spans="1:14" x14ac:dyDescent="0.25">
      <c r="A18" t="s">
        <v>152</v>
      </c>
      <c r="B18">
        <v>147722519</v>
      </c>
      <c r="C18" s="1">
        <v>3304191903140000</v>
      </c>
      <c r="D18" s="1" t="str">
        <f>VLOOKUP(Table1[[#This Row],[nisn]],Table3[],3,FALSE)</f>
        <v>60BAD555-2DF5-E011-B469-2D2E5A0AFD1B</v>
      </c>
      <c r="E18" s="1" t="str">
        <f>VLOOKUP(Table1[[#This Row],[sekolah_id]],Table4[],2,FALSE)</f>
        <v>SD NEGERI 1 PASEGERAN</v>
      </c>
      <c r="F18" s="1">
        <f>VLOOKUP(Table1[[#This Row],[sekolah_id]],Table4[],3,FALSE)</f>
        <v>20304463</v>
      </c>
      <c r="H18">
        <v>137377499</v>
      </c>
      <c r="I18" t="s">
        <v>16</v>
      </c>
      <c r="J18" t="s">
        <v>300</v>
      </c>
      <c r="L18" t="s">
        <v>236</v>
      </c>
      <c r="M18" t="s">
        <v>237</v>
      </c>
      <c r="N18">
        <v>20304451</v>
      </c>
    </row>
    <row r="19" spans="1:14" x14ac:dyDescent="0.25">
      <c r="A19" t="s">
        <v>28</v>
      </c>
      <c r="B19">
        <v>3162305133</v>
      </c>
      <c r="C19" s="1">
        <v>3304031202160000</v>
      </c>
      <c r="D19" s="1" t="str">
        <f>VLOOKUP(Table1[[#This Row],[nisn]],Table3[],3,FALSE)</f>
        <v>D01CB855-2DF5-E011-B2AB-C98ECC834AF5</v>
      </c>
      <c r="E19" s="1" t="str">
        <f>VLOOKUP(Table1[[#This Row],[sekolah_id]],Table4[],2,FALSE)</f>
        <v>SD NEGERI 3 PURWASABA</v>
      </c>
      <c r="F19" s="1">
        <f>VLOOKUP(Table1[[#This Row],[sekolah_id]],Table4[],3,FALSE)</f>
        <v>20338259</v>
      </c>
      <c r="H19">
        <v>133994377</v>
      </c>
      <c r="I19" t="s">
        <v>17</v>
      </c>
      <c r="J19" t="s">
        <v>280</v>
      </c>
      <c r="L19" t="s">
        <v>238</v>
      </c>
      <c r="M19" t="s">
        <v>239</v>
      </c>
      <c r="N19">
        <v>20304056</v>
      </c>
    </row>
    <row r="20" spans="1:14" x14ac:dyDescent="0.25">
      <c r="A20" t="s">
        <v>165</v>
      </c>
      <c r="B20">
        <v>132301331</v>
      </c>
      <c r="C20" s="1">
        <v>3304052602130000</v>
      </c>
      <c r="D20" s="1" t="str">
        <f>VLOOKUP(Table1[[#This Row],[nisn]],Table3[],3,FALSE)</f>
        <v>2053BD55-2DF5-E011-8BBB-F1DD0A103ED8</v>
      </c>
      <c r="E20" s="1" t="str">
        <f>VLOOKUP(Table1[[#This Row],[sekolah_id]],Table4[],2,FALSE)</f>
        <v>SD NEGERI 2 MAJALENGKA</v>
      </c>
      <c r="F20" s="1">
        <f>VLOOKUP(Table1[[#This Row],[sekolah_id]],Table4[],3,FALSE)</f>
        <v>20340961</v>
      </c>
      <c r="H20">
        <v>134273049</v>
      </c>
      <c r="I20" t="s">
        <v>18</v>
      </c>
      <c r="J20" t="s">
        <v>236</v>
      </c>
      <c r="L20" t="s">
        <v>240</v>
      </c>
      <c r="M20" t="s">
        <v>241</v>
      </c>
      <c r="N20">
        <v>20304142</v>
      </c>
    </row>
    <row r="21" spans="1:14" x14ac:dyDescent="0.25">
      <c r="A21" t="s">
        <v>2</v>
      </c>
      <c r="B21">
        <v>3146505319</v>
      </c>
      <c r="C21" s="1">
        <v>3304201002140000</v>
      </c>
      <c r="D21" s="1" t="str">
        <f>VLOOKUP(Table1[[#This Row],[nisn]],Table3[],3,FALSE)</f>
        <v>80F8BB55-2DF5-E011-A484-1FF784BFA9E1</v>
      </c>
      <c r="E21" s="1" t="str">
        <f>VLOOKUP(Table1[[#This Row],[sekolah_id]],Table4[],2,FALSE)</f>
        <v>SD NEGERI 1 LEBAKWANGI</v>
      </c>
      <c r="F21" s="1">
        <f>VLOOKUP(Table1[[#This Row],[sekolah_id]],Table4[],3,FALSE)</f>
        <v>20304630</v>
      </c>
      <c r="H21">
        <v>3161556705</v>
      </c>
      <c r="I21" t="s">
        <v>19</v>
      </c>
      <c r="J21" t="s">
        <v>234</v>
      </c>
      <c r="L21" t="s">
        <v>242</v>
      </c>
      <c r="M21" t="s">
        <v>243</v>
      </c>
      <c r="N21">
        <v>20338259</v>
      </c>
    </row>
    <row r="22" spans="1:14" x14ac:dyDescent="0.25">
      <c r="A22" t="s">
        <v>128</v>
      </c>
      <c r="B22">
        <v>3131757645</v>
      </c>
      <c r="C22" s="1">
        <v>3303026711130000</v>
      </c>
      <c r="D22" s="1" t="str">
        <f>VLOOKUP(Table1[[#This Row],[nisn]],Table3[],3,FALSE)</f>
        <v>EE02A802-1B7F-4515-BCE9-D0C7C88539F9</v>
      </c>
      <c r="E22" s="1" t="str">
        <f>VLOOKUP(Table1[[#This Row],[sekolah_id]],Table4[],2,FALSE)</f>
        <v>MIS NU 02 SITUWANGI</v>
      </c>
      <c r="F22" s="1">
        <f>VLOOKUP(Table1[[#This Row],[sekolah_id]],Table4[],3,FALSE)</f>
        <v>60710826</v>
      </c>
      <c r="H22">
        <v>135125327</v>
      </c>
      <c r="I22" t="s">
        <v>20</v>
      </c>
      <c r="J22" t="s">
        <v>234</v>
      </c>
      <c r="L22" t="s">
        <v>244</v>
      </c>
      <c r="M22" t="s">
        <v>245</v>
      </c>
      <c r="N22">
        <v>20304625</v>
      </c>
    </row>
    <row r="23" spans="1:14" x14ac:dyDescent="0.25">
      <c r="A23" t="s">
        <v>173</v>
      </c>
      <c r="B23">
        <v>143792561</v>
      </c>
      <c r="C23" s="1">
        <v>3304185903140000</v>
      </c>
      <c r="D23" s="1" t="str">
        <f>VLOOKUP(Table1[[#This Row],[nisn]],Table3[],3,FALSE)</f>
        <v>6086D555-2DF5-E011-95CB-D33E6E27C5CE</v>
      </c>
      <c r="E23" s="1" t="str">
        <f>VLOOKUP(Table1[[#This Row],[sekolah_id]],Table4[],2,FALSE)</f>
        <v>SD NEGERI 1 KALIBOMBONG</v>
      </c>
      <c r="F23" s="1">
        <f>VLOOKUP(Table1[[#This Row],[sekolah_id]],Table4[],3,FALSE)</f>
        <v>20304635</v>
      </c>
      <c r="H23">
        <v>3138223104</v>
      </c>
      <c r="I23" t="s">
        <v>21</v>
      </c>
      <c r="J23" t="s">
        <v>224</v>
      </c>
      <c r="L23" t="s">
        <v>246</v>
      </c>
      <c r="M23" t="s">
        <v>247</v>
      </c>
      <c r="N23">
        <v>60710836</v>
      </c>
    </row>
    <row r="24" spans="1:14" x14ac:dyDescent="0.25">
      <c r="A24" t="s">
        <v>177</v>
      </c>
      <c r="B24">
        <v>145413412</v>
      </c>
      <c r="C24" s="1">
        <v>3304181603140000</v>
      </c>
      <c r="D24" s="1" t="str">
        <f>VLOOKUP(Table1[[#This Row],[nisn]],Table3[],3,FALSE)</f>
        <v>6086D555-2DF5-E011-95CB-D33E6E27C5CE</v>
      </c>
      <c r="E24" s="1" t="str">
        <f>VLOOKUP(Table1[[#This Row],[sekolah_id]],Table4[],2,FALSE)</f>
        <v>SD NEGERI 1 KALIBOMBONG</v>
      </c>
      <c r="F24" s="1">
        <f>VLOOKUP(Table1[[#This Row],[sekolah_id]],Table4[],3,FALSE)</f>
        <v>20304635</v>
      </c>
      <c r="H24">
        <v>133842289</v>
      </c>
      <c r="I24" t="s">
        <v>22</v>
      </c>
      <c r="J24" t="s">
        <v>224</v>
      </c>
      <c r="L24" t="s">
        <v>248</v>
      </c>
      <c r="M24" t="s">
        <v>249</v>
      </c>
      <c r="N24">
        <v>20304529</v>
      </c>
    </row>
    <row r="25" spans="1:14" x14ac:dyDescent="0.25">
      <c r="A25" t="s">
        <v>179</v>
      </c>
      <c r="B25">
        <v>141557487</v>
      </c>
      <c r="C25" s="1">
        <v>3304186005140000</v>
      </c>
      <c r="D25" s="1" t="str">
        <f>VLOOKUP(Table1[[#This Row],[nisn]],Table3[],3,FALSE)</f>
        <v>6086D555-2DF5-E011-95CB-D33E6E27C5CE</v>
      </c>
      <c r="E25" s="1" t="str">
        <f>VLOOKUP(Table1[[#This Row],[sekolah_id]],Table4[],2,FALSE)</f>
        <v>SD NEGERI 1 KALIBOMBONG</v>
      </c>
      <c r="F25" s="1">
        <f>VLOOKUP(Table1[[#This Row],[sekolah_id]],Table4[],3,FALSE)</f>
        <v>20304635</v>
      </c>
      <c r="H25">
        <v>3132054755</v>
      </c>
      <c r="I25" t="s">
        <v>23</v>
      </c>
      <c r="J25" t="s">
        <v>228</v>
      </c>
      <c r="L25" t="s">
        <v>250</v>
      </c>
      <c r="M25" t="s">
        <v>251</v>
      </c>
      <c r="N25">
        <v>20304600</v>
      </c>
    </row>
    <row r="26" spans="1:14" x14ac:dyDescent="0.25">
      <c r="A26" t="s">
        <v>109</v>
      </c>
      <c r="B26">
        <v>3159826802</v>
      </c>
      <c r="C26" s="1">
        <v>3304056104150000</v>
      </c>
      <c r="D26" s="1" t="str">
        <f>VLOOKUP(Table1[[#This Row],[nisn]],Table3[],3,FALSE)</f>
        <v>207DBF55-2DF5-E011-8B37-CD1D51D3DBB9</v>
      </c>
      <c r="E26" s="1" t="str">
        <f>VLOOKUP(Table1[[#This Row],[sekolah_id]],Table4[],2,FALSE)</f>
        <v>SD NEGERI 1 TLAGAWERA</v>
      </c>
      <c r="F26" s="1">
        <f>VLOOKUP(Table1[[#This Row],[sekolah_id]],Table4[],3,FALSE)</f>
        <v>20304527</v>
      </c>
      <c r="H26">
        <v>143354033</v>
      </c>
      <c r="I26" t="s">
        <v>24</v>
      </c>
      <c r="J26" t="s">
        <v>316</v>
      </c>
      <c r="L26" t="s">
        <v>252</v>
      </c>
      <c r="M26" t="s">
        <v>253</v>
      </c>
      <c r="N26">
        <v>20304595</v>
      </c>
    </row>
    <row r="27" spans="1:14" x14ac:dyDescent="0.25">
      <c r="A27" t="s">
        <v>134</v>
      </c>
      <c r="B27">
        <v>3139606872</v>
      </c>
      <c r="C27" s="1">
        <v>3304115412130000</v>
      </c>
      <c r="D27" s="1" t="str">
        <f>VLOOKUP(Table1[[#This Row],[nisn]],Table3[],3,FALSE)</f>
        <v>F71CBB1F-DF59-40B4-9BBE-AFA1BED8B314</v>
      </c>
      <c r="E27" s="1" t="str">
        <f>VLOOKUP(Table1[[#This Row],[sekolah_id]],Table4[],2,FALSE)</f>
        <v>MIS AL MAARIF GELANG</v>
      </c>
      <c r="F27" s="1">
        <f>VLOOKUP(Table1[[#This Row],[sekolah_id]],Table4[],3,FALSE)</f>
        <v>60710829</v>
      </c>
      <c r="H27">
        <v>3149151945</v>
      </c>
      <c r="I27" t="s">
        <v>25</v>
      </c>
      <c r="J27" t="s">
        <v>280</v>
      </c>
      <c r="L27" t="s">
        <v>254</v>
      </c>
      <c r="M27" t="s">
        <v>255</v>
      </c>
      <c r="N27">
        <v>20304494</v>
      </c>
    </row>
    <row r="28" spans="1:14" x14ac:dyDescent="0.25">
      <c r="A28" t="s">
        <v>170</v>
      </c>
      <c r="B28">
        <v>137206026</v>
      </c>
      <c r="C28" s="1">
        <v>3304195407130000</v>
      </c>
      <c r="D28" s="1" t="str">
        <f>VLOOKUP(Table1[[#This Row],[nisn]],Table3[],3,FALSE)</f>
        <v>60BAD555-2DF5-E011-B469-2D2E5A0AFD1B</v>
      </c>
      <c r="E28" s="1" t="str">
        <f>VLOOKUP(Table1[[#This Row],[sekolah_id]],Table4[],2,FALSE)</f>
        <v>SD NEGERI 1 PASEGERAN</v>
      </c>
      <c r="F28" s="1">
        <f>VLOOKUP(Table1[[#This Row],[sekolah_id]],Table4[],3,FALSE)</f>
        <v>20304463</v>
      </c>
      <c r="H28">
        <v>146356590</v>
      </c>
      <c r="I28" t="s">
        <v>26</v>
      </c>
      <c r="J28" t="s">
        <v>234</v>
      </c>
      <c r="L28" t="s">
        <v>256</v>
      </c>
      <c r="M28" t="s">
        <v>257</v>
      </c>
      <c r="N28">
        <v>20303865</v>
      </c>
    </row>
    <row r="29" spans="1:14" x14ac:dyDescent="0.25">
      <c r="A29" t="s">
        <v>94</v>
      </c>
      <c r="B29">
        <v>144236807</v>
      </c>
      <c r="C29" s="1">
        <v>3304035104140000</v>
      </c>
      <c r="D29" s="1" t="str">
        <f>VLOOKUP(Table1[[#This Row],[nisn]],Table3[],3,FALSE)</f>
        <v>A044B855-2DF5-E011-AF5A-BFAF5382C433</v>
      </c>
      <c r="E29" s="1" t="str">
        <f>VLOOKUP(Table1[[#This Row],[sekolah_id]],Table4[],2,FALSE)</f>
        <v>SD NEGERI 3 MANDIRAJA WETAN</v>
      </c>
      <c r="F29" s="1">
        <f>VLOOKUP(Table1[[#This Row],[sekolah_id]],Table4[],3,FALSE)</f>
        <v>20340835</v>
      </c>
      <c r="H29">
        <v>3136742420</v>
      </c>
      <c r="I29" t="s">
        <v>27</v>
      </c>
      <c r="J29" t="s">
        <v>234</v>
      </c>
      <c r="L29" t="s">
        <v>258</v>
      </c>
      <c r="M29" t="s">
        <v>259</v>
      </c>
      <c r="N29">
        <v>70015193</v>
      </c>
    </row>
    <row r="30" spans="1:14" x14ac:dyDescent="0.25">
      <c r="A30" t="s">
        <v>127</v>
      </c>
      <c r="B30">
        <v>3159569711</v>
      </c>
      <c r="C30" s="1">
        <v>3304175810150000</v>
      </c>
      <c r="D30" s="1" t="str">
        <f>VLOOKUP(Table1[[#This Row],[nisn]],Table3[],3,FALSE)</f>
        <v>C0EDD355-2DF5-E011-9349-674A6FF36591</v>
      </c>
      <c r="E30" s="1" t="str">
        <f>VLOOKUP(Table1[[#This Row],[sekolah_id]],Table4[],2,FALSE)</f>
        <v>SD NEGERI 2 PANDANSARI</v>
      </c>
      <c r="F30" s="1">
        <f>VLOOKUP(Table1[[#This Row],[sekolah_id]],Table4[],3,FALSE)</f>
        <v>20303922</v>
      </c>
      <c r="H30">
        <v>3162305133</v>
      </c>
      <c r="I30" t="s">
        <v>28</v>
      </c>
      <c r="J30" t="s">
        <v>242</v>
      </c>
      <c r="L30" t="s">
        <v>260</v>
      </c>
      <c r="M30" t="s">
        <v>261</v>
      </c>
      <c r="N30">
        <v>20338255</v>
      </c>
    </row>
    <row r="31" spans="1:14" x14ac:dyDescent="0.25">
      <c r="A31" t="s">
        <v>57</v>
      </c>
      <c r="B31">
        <v>3134885734</v>
      </c>
      <c r="C31" s="1">
        <v>3304034106130000</v>
      </c>
      <c r="D31" s="1" t="str">
        <f>VLOOKUP(Table1[[#This Row],[nisn]],Table3[],3,FALSE)</f>
        <v>D01CB855-2DF5-E011-B2AB-C98ECC834AF5</v>
      </c>
      <c r="E31" s="1" t="str">
        <f>VLOOKUP(Table1[[#This Row],[sekolah_id]],Table4[],2,FALSE)</f>
        <v>SD NEGERI 3 PURWASABA</v>
      </c>
      <c r="F31" s="1">
        <f>VLOOKUP(Table1[[#This Row],[sekolah_id]],Table4[],3,FALSE)</f>
        <v>20338259</v>
      </c>
      <c r="H31">
        <v>3141398388</v>
      </c>
      <c r="I31" t="s">
        <v>29</v>
      </c>
      <c r="J31" t="s">
        <v>240</v>
      </c>
      <c r="L31" t="s">
        <v>262</v>
      </c>
      <c r="M31" t="s">
        <v>263</v>
      </c>
      <c r="N31">
        <v>20338237</v>
      </c>
    </row>
    <row r="32" spans="1:14" x14ac:dyDescent="0.25">
      <c r="A32" t="s">
        <v>0</v>
      </c>
      <c r="B32">
        <v>143973604</v>
      </c>
      <c r="C32" s="1">
        <v>3304052205140000</v>
      </c>
      <c r="D32" s="1" t="str">
        <f>VLOOKUP(Table1[[#This Row],[nisn]],Table3[],3,FALSE)</f>
        <v>4056BC55-2DF5-E011-9C98-C570D0215475</v>
      </c>
      <c r="E32" s="1" t="str">
        <f>VLOOKUP(Table1[[#This Row],[sekolah_id]],Table4[],2,FALSE)</f>
        <v>SD NEGERI 1 MAJALENGKA</v>
      </c>
      <c r="F32" s="1">
        <f>VLOOKUP(Table1[[#This Row],[sekolah_id]],Table4[],3,FALSE)</f>
        <v>20304624</v>
      </c>
      <c r="H32">
        <v>145500516</v>
      </c>
      <c r="I32" t="s">
        <v>30</v>
      </c>
      <c r="J32" t="s">
        <v>224</v>
      </c>
      <c r="L32" t="s">
        <v>264</v>
      </c>
      <c r="M32" t="s">
        <v>265</v>
      </c>
      <c r="N32">
        <v>20303857</v>
      </c>
    </row>
    <row r="33" spans="1:14" x14ac:dyDescent="0.25">
      <c r="A33" t="s">
        <v>0</v>
      </c>
      <c r="B33">
        <v>143973604</v>
      </c>
      <c r="C33" s="1">
        <v>3304052205140000</v>
      </c>
      <c r="D33" s="1" t="str">
        <f>VLOOKUP(Table1[[#This Row],[nisn]],Table3[],3,FALSE)</f>
        <v>4056BC55-2DF5-E011-9C98-C570D0215475</v>
      </c>
      <c r="E33" s="1" t="str">
        <f>VLOOKUP(Table1[[#This Row],[sekolah_id]],Table4[],2,FALSE)</f>
        <v>SD NEGERI 1 MAJALENGKA</v>
      </c>
      <c r="F33" s="1">
        <f>VLOOKUP(Table1[[#This Row],[sekolah_id]],Table4[],3,FALSE)</f>
        <v>20304624</v>
      </c>
      <c r="H33">
        <v>3140780250</v>
      </c>
      <c r="I33" t="s">
        <v>31</v>
      </c>
      <c r="J33" t="s">
        <v>238</v>
      </c>
      <c r="L33" t="s">
        <v>266</v>
      </c>
      <c r="M33" t="s">
        <v>267</v>
      </c>
      <c r="N33">
        <v>20304171</v>
      </c>
    </row>
    <row r="34" spans="1:14" x14ac:dyDescent="0.25">
      <c r="A34" t="s">
        <v>137</v>
      </c>
      <c r="B34">
        <v>3161410949</v>
      </c>
      <c r="C34" s="1">
        <v>3304110407160000</v>
      </c>
      <c r="D34" s="1" t="str">
        <f>VLOOKUP(Table1[[#This Row],[nisn]],Table3[],3,FALSE)</f>
        <v>A6F99D00-F0E9-49F4-8A8B-1600D3C8564F</v>
      </c>
      <c r="E34" s="1" t="str">
        <f>VLOOKUP(Table1[[#This Row],[sekolah_id]],Table4[],2,FALSE)</f>
        <v>MIS NU KINCANG</v>
      </c>
      <c r="F34" s="1">
        <f>VLOOKUP(Table1[[#This Row],[sekolah_id]],Table4[],3,FALSE)</f>
        <v>60710835</v>
      </c>
      <c r="H34">
        <v>157886638</v>
      </c>
      <c r="I34" t="s">
        <v>32</v>
      </c>
      <c r="J34" t="s">
        <v>232</v>
      </c>
      <c r="L34" t="s">
        <v>268</v>
      </c>
      <c r="M34" t="s">
        <v>269</v>
      </c>
      <c r="N34">
        <v>20304067</v>
      </c>
    </row>
    <row r="35" spans="1:14" x14ac:dyDescent="0.25">
      <c r="A35" t="s">
        <v>50</v>
      </c>
      <c r="B35">
        <v>3146464457</v>
      </c>
      <c r="C35" s="1">
        <v>3304064807140000</v>
      </c>
      <c r="D35" s="1" t="str">
        <f>VLOOKUP(Table1[[#This Row],[nisn]],Table3[],3,FALSE)</f>
        <v>6079C055-2DF5-E011-9B77-D303F77FB572</v>
      </c>
      <c r="E35" s="1" t="str">
        <f>VLOOKUP(Table1[[#This Row],[sekolah_id]],Table4[],2,FALSE)</f>
        <v>SD NEGERI 2 SOKAYASA</v>
      </c>
      <c r="F35" s="1">
        <f>VLOOKUP(Table1[[#This Row],[sekolah_id]],Table4[],3,FALSE)</f>
        <v>20303750</v>
      </c>
      <c r="H35">
        <v>139730422</v>
      </c>
      <c r="I35" t="s">
        <v>33</v>
      </c>
      <c r="J35" t="s">
        <v>228</v>
      </c>
      <c r="L35" t="s">
        <v>270</v>
      </c>
      <c r="M35" t="s">
        <v>271</v>
      </c>
      <c r="N35">
        <v>20340877</v>
      </c>
    </row>
    <row r="36" spans="1:14" x14ac:dyDescent="0.25">
      <c r="A36" t="s">
        <v>175</v>
      </c>
      <c r="B36">
        <v>151004045</v>
      </c>
      <c r="C36" s="1">
        <v>3304170401150000</v>
      </c>
      <c r="D36" s="1" t="str">
        <f>VLOOKUP(Table1[[#This Row],[nisn]],Table3[],3,FALSE)</f>
        <v>90B4D355-2DF5-E011-9171-DB4E484A8875</v>
      </c>
      <c r="E36" s="1" t="str">
        <f>VLOOKUP(Table1[[#This Row],[sekolah_id]],Table4[],2,FALSE)</f>
        <v>SD NEGERI 1 TEMPURAN</v>
      </c>
      <c r="F36" s="1">
        <f>VLOOKUP(Table1[[#This Row],[sekolah_id]],Table4[],3,FALSE)</f>
        <v>20304529</v>
      </c>
      <c r="H36">
        <v>145457973</v>
      </c>
      <c r="I36" t="s">
        <v>34</v>
      </c>
      <c r="J36" t="s">
        <v>234</v>
      </c>
      <c r="L36" t="s">
        <v>272</v>
      </c>
      <c r="M36" t="s">
        <v>273</v>
      </c>
      <c r="N36">
        <v>20304630</v>
      </c>
    </row>
    <row r="37" spans="1:14" x14ac:dyDescent="0.25">
      <c r="A37" t="s">
        <v>136</v>
      </c>
      <c r="B37">
        <v>3155212673</v>
      </c>
      <c r="C37" s="1">
        <v>3304091302150000</v>
      </c>
      <c r="D37" s="1" t="str">
        <f>VLOOKUP(Table1[[#This Row],[nisn]],Table3[],3,FALSE)</f>
        <v>90A0C355-2DF5-E011-8702-BDAAC1C63FB6</v>
      </c>
      <c r="E37" s="1" t="str">
        <f>VLOOKUP(Table1[[#This Row],[sekolah_id]],Table4[],2,FALSE)</f>
        <v>SD NEGERI 1 PRENDENGAN</v>
      </c>
      <c r="F37" s="1">
        <f>VLOOKUP(Table1[[#This Row],[sekolah_id]],Table4[],3,FALSE)</f>
        <v>20304419</v>
      </c>
      <c r="H37">
        <v>139263702</v>
      </c>
      <c r="I37" t="s">
        <v>35</v>
      </c>
      <c r="J37" t="s">
        <v>292</v>
      </c>
      <c r="L37" t="s">
        <v>274</v>
      </c>
      <c r="M37" t="s">
        <v>275</v>
      </c>
      <c r="N37">
        <v>20304627</v>
      </c>
    </row>
    <row r="38" spans="1:14" x14ac:dyDescent="0.25">
      <c r="A38" t="s">
        <v>66</v>
      </c>
      <c r="B38">
        <v>3130355111</v>
      </c>
      <c r="C38" s="1">
        <v>3304066607130000</v>
      </c>
      <c r="D38" s="1" t="str">
        <f>VLOOKUP(Table1[[#This Row],[nisn]],Table3[],3,FALSE)</f>
        <v>C013BF55-2DF5-E011-9E4E-7F13E74E6CD5</v>
      </c>
      <c r="E38" s="1" t="str">
        <f>VLOOKUP(Table1[[#This Row],[sekolah_id]],Table4[],2,FALSE)</f>
        <v>SD NEGERI 1 ARGASOKA</v>
      </c>
      <c r="F38" s="1">
        <f>VLOOKUP(Table1[[#This Row],[sekolah_id]],Table4[],3,FALSE)</f>
        <v>20304584</v>
      </c>
      <c r="H38">
        <v>131400415</v>
      </c>
      <c r="I38" t="s">
        <v>36</v>
      </c>
      <c r="J38" t="s">
        <v>342</v>
      </c>
      <c r="L38" t="s">
        <v>276</v>
      </c>
      <c r="M38" t="s">
        <v>277</v>
      </c>
      <c r="N38">
        <v>20304633</v>
      </c>
    </row>
    <row r="39" spans="1:14" x14ac:dyDescent="0.25">
      <c r="A39" t="s">
        <v>53</v>
      </c>
      <c r="B39">
        <v>3152142363</v>
      </c>
      <c r="C39" s="1">
        <v>3304036501150000</v>
      </c>
      <c r="D39" s="1" t="str">
        <f>VLOOKUP(Table1[[#This Row],[nisn]],Table3[],3,FALSE)</f>
        <v>D01CB855-2DF5-E011-B2AB-C98ECC834AF5</v>
      </c>
      <c r="E39" s="1" t="str">
        <f>VLOOKUP(Table1[[#This Row],[sekolah_id]],Table4[],2,FALSE)</f>
        <v>SD NEGERI 3 PURWASABA</v>
      </c>
      <c r="F39" s="1">
        <f>VLOOKUP(Table1[[#This Row],[sekolah_id]],Table4[],3,FALSE)</f>
        <v>20338259</v>
      </c>
      <c r="H39">
        <v>134018968</v>
      </c>
      <c r="I39" t="s">
        <v>37</v>
      </c>
      <c r="J39" t="s">
        <v>276</v>
      </c>
      <c r="L39" t="s">
        <v>278</v>
      </c>
      <c r="M39" t="s">
        <v>279</v>
      </c>
      <c r="N39">
        <v>20303848</v>
      </c>
    </row>
    <row r="40" spans="1:14" x14ac:dyDescent="0.25">
      <c r="A40" t="s">
        <v>89</v>
      </c>
      <c r="B40">
        <v>144349152</v>
      </c>
      <c r="C40" s="1">
        <v>3304176401140000</v>
      </c>
      <c r="D40" s="1" t="str">
        <f>VLOOKUP(Table1[[#This Row],[nisn]],Table3[],3,FALSE)</f>
        <v>C0EDD355-2DF5-E011-9349-674A6FF36591</v>
      </c>
      <c r="E40" s="1" t="str">
        <f>VLOOKUP(Table1[[#This Row],[sekolah_id]],Table4[],2,FALSE)</f>
        <v>SD NEGERI 2 PANDANSARI</v>
      </c>
      <c r="F40" s="1">
        <f>VLOOKUP(Table1[[#This Row],[sekolah_id]],Table4[],3,FALSE)</f>
        <v>20303922</v>
      </c>
      <c r="H40">
        <v>3131617855</v>
      </c>
      <c r="I40" t="s">
        <v>38</v>
      </c>
      <c r="J40" t="s">
        <v>240</v>
      </c>
      <c r="L40" t="s">
        <v>280</v>
      </c>
      <c r="M40" t="s">
        <v>281</v>
      </c>
      <c r="N40">
        <v>20303758</v>
      </c>
    </row>
    <row r="41" spans="1:14" x14ac:dyDescent="0.25">
      <c r="A41" t="s">
        <v>84</v>
      </c>
      <c r="B41">
        <v>3146360022</v>
      </c>
      <c r="C41" s="1">
        <v>3304064212140000</v>
      </c>
      <c r="D41" s="1" t="str">
        <f>VLOOKUP(Table1[[#This Row],[nisn]],Table3[],3,FALSE)</f>
        <v>6079C055-2DF5-E011-9B77-D303F77FB572</v>
      </c>
      <c r="E41" s="1" t="str">
        <f>VLOOKUP(Table1[[#This Row],[sekolah_id]],Table4[],2,FALSE)</f>
        <v>SD NEGERI 2 SOKAYASA</v>
      </c>
      <c r="F41" s="1">
        <f>VLOOKUP(Table1[[#This Row],[sekolah_id]],Table4[],3,FALSE)</f>
        <v>20303750</v>
      </c>
      <c r="H41">
        <v>3150321452</v>
      </c>
      <c r="I41" t="s">
        <v>39</v>
      </c>
      <c r="J41" t="s">
        <v>230</v>
      </c>
      <c r="L41" t="s">
        <v>282</v>
      </c>
      <c r="M41" t="s">
        <v>283</v>
      </c>
      <c r="N41">
        <v>20304468</v>
      </c>
    </row>
    <row r="42" spans="1:14" x14ac:dyDescent="0.25">
      <c r="A42" t="s">
        <v>23</v>
      </c>
      <c r="B42">
        <v>3132054755</v>
      </c>
      <c r="C42" s="1">
        <v>3304066103130000</v>
      </c>
      <c r="D42" s="1" t="str">
        <f>VLOOKUP(Table1[[#This Row],[nisn]],Table3[],3,FALSE)</f>
        <v>7025BE55-2DF5-E011-9373-43724474F268</v>
      </c>
      <c r="E42" s="1" t="str">
        <f>VLOOKUP(Table1[[#This Row],[sekolah_id]],Table4[],2,FALSE)</f>
        <v>SD NEGERI 1 KRANDEGAN</v>
      </c>
      <c r="F42" s="1">
        <f>VLOOKUP(Table1[[#This Row],[sekolah_id]],Table4[],3,FALSE)</f>
        <v>20304607</v>
      </c>
      <c r="H42">
        <v>138063108</v>
      </c>
      <c r="I42" t="s">
        <v>40</v>
      </c>
      <c r="J42" t="s">
        <v>204</v>
      </c>
      <c r="L42" t="s">
        <v>284</v>
      </c>
      <c r="M42" t="s">
        <v>285</v>
      </c>
      <c r="N42">
        <v>20303726</v>
      </c>
    </row>
    <row r="43" spans="1:14" x14ac:dyDescent="0.25">
      <c r="A43" t="s">
        <v>144</v>
      </c>
      <c r="B43">
        <v>3156910052</v>
      </c>
      <c r="C43" s="1">
        <v>3304094606150000</v>
      </c>
      <c r="D43" s="1" t="str">
        <f>VLOOKUP(Table1[[#This Row],[nisn]],Table3[],3,FALSE)</f>
        <v>90A0C355-2DF5-E011-8702-BDAAC1C63FB6</v>
      </c>
      <c r="E43" s="1" t="str">
        <f>VLOOKUP(Table1[[#This Row],[sekolah_id]],Table4[],2,FALSE)</f>
        <v>SD NEGERI 1 PRENDENGAN</v>
      </c>
      <c r="F43" s="1">
        <f>VLOOKUP(Table1[[#This Row],[sekolah_id]],Table4[],3,FALSE)</f>
        <v>20304419</v>
      </c>
      <c r="H43">
        <v>3139103064</v>
      </c>
      <c r="I43" t="s">
        <v>41</v>
      </c>
      <c r="J43" t="s">
        <v>290</v>
      </c>
      <c r="L43" t="s">
        <v>286</v>
      </c>
      <c r="M43" t="s">
        <v>287</v>
      </c>
      <c r="N43">
        <v>20304485</v>
      </c>
    </row>
    <row r="44" spans="1:14" x14ac:dyDescent="0.25">
      <c r="A44" t="s">
        <v>148</v>
      </c>
      <c r="B44">
        <v>143318234</v>
      </c>
      <c r="C44" s="1">
        <v>3304035706140000</v>
      </c>
      <c r="D44" s="1" t="str">
        <f>VLOOKUP(Table1[[#This Row],[nisn]],Table3[],3,FALSE)</f>
        <v>A044B855-2DF5-E011-AF5A-BFAF5382C433</v>
      </c>
      <c r="E44" s="1" t="str">
        <f>VLOOKUP(Table1[[#This Row],[sekolah_id]],Table4[],2,FALSE)</f>
        <v>SD NEGERI 3 MANDIRAJA WETAN</v>
      </c>
      <c r="F44" s="1">
        <f>VLOOKUP(Table1[[#This Row],[sekolah_id]],Table4[],3,FALSE)</f>
        <v>20340835</v>
      </c>
      <c r="H44">
        <v>134634377</v>
      </c>
      <c r="I44" t="s">
        <v>42</v>
      </c>
      <c r="J44" t="s">
        <v>270</v>
      </c>
      <c r="L44" t="s">
        <v>288</v>
      </c>
      <c r="M44" t="s">
        <v>289</v>
      </c>
      <c r="N44">
        <v>60710866</v>
      </c>
    </row>
    <row r="45" spans="1:14" x14ac:dyDescent="0.25">
      <c r="A45" t="s">
        <v>24</v>
      </c>
      <c r="B45">
        <v>143354033</v>
      </c>
      <c r="C45" s="1">
        <v>3304051505140000</v>
      </c>
      <c r="D45" s="1" t="str">
        <f>VLOOKUP(Table1[[#This Row],[nisn]],Table3[],3,FALSE)</f>
        <v>4056BC55-2DF5-E011-9C98-C570D0215475</v>
      </c>
      <c r="E45" s="1" t="str">
        <f>VLOOKUP(Table1[[#This Row],[sekolah_id]],Table4[],2,FALSE)</f>
        <v>SD NEGERI 1 MAJALENGKA</v>
      </c>
      <c r="F45" s="1">
        <f>VLOOKUP(Table1[[#This Row],[sekolah_id]],Table4[],3,FALSE)</f>
        <v>20304624</v>
      </c>
      <c r="H45">
        <v>158682989</v>
      </c>
      <c r="I45" t="s">
        <v>43</v>
      </c>
      <c r="J45" t="s">
        <v>240</v>
      </c>
      <c r="L45" t="s">
        <v>290</v>
      </c>
      <c r="M45" t="s">
        <v>291</v>
      </c>
      <c r="N45">
        <v>20304071</v>
      </c>
    </row>
    <row r="46" spans="1:14" x14ac:dyDescent="0.25">
      <c r="A46" t="s">
        <v>24</v>
      </c>
      <c r="B46">
        <v>143354033</v>
      </c>
      <c r="C46" s="1">
        <v>3304051505140000</v>
      </c>
      <c r="D46" s="1" t="str">
        <f>VLOOKUP(Table1[[#This Row],[nisn]],Table3[],3,FALSE)</f>
        <v>4056BC55-2DF5-E011-9C98-C570D0215475</v>
      </c>
      <c r="E46" s="1" t="str">
        <f>VLOOKUP(Table1[[#This Row],[sekolah_id]],Table4[],2,FALSE)</f>
        <v>SD NEGERI 1 MAJALENGKA</v>
      </c>
      <c r="F46" s="1">
        <f>VLOOKUP(Table1[[#This Row],[sekolah_id]],Table4[],3,FALSE)</f>
        <v>20304624</v>
      </c>
      <c r="H46">
        <v>132702174</v>
      </c>
      <c r="I46" t="s">
        <v>44</v>
      </c>
      <c r="J46" t="s">
        <v>274</v>
      </c>
      <c r="L46" t="s">
        <v>292</v>
      </c>
      <c r="M46" t="s">
        <v>293</v>
      </c>
      <c r="N46">
        <v>20304488</v>
      </c>
    </row>
    <row r="47" spans="1:14" x14ac:dyDescent="0.25">
      <c r="A47" t="s">
        <v>139</v>
      </c>
      <c r="B47">
        <v>3152194920</v>
      </c>
      <c r="C47" s="1">
        <v>3304091607150000</v>
      </c>
      <c r="D47" s="1" t="str">
        <f>VLOOKUP(Table1[[#This Row],[nisn]],Table3[],3,FALSE)</f>
        <v>90A0C355-2DF5-E011-8702-BDAAC1C63FB6</v>
      </c>
      <c r="E47" s="1" t="str">
        <f>VLOOKUP(Table1[[#This Row],[sekolah_id]],Table4[],2,FALSE)</f>
        <v>SD NEGERI 1 PRENDENGAN</v>
      </c>
      <c r="F47" s="1">
        <f>VLOOKUP(Table1[[#This Row],[sekolah_id]],Table4[],3,FALSE)</f>
        <v>20304419</v>
      </c>
      <c r="H47">
        <v>3153805502</v>
      </c>
      <c r="I47" t="s">
        <v>45</v>
      </c>
      <c r="J47" t="s">
        <v>210</v>
      </c>
      <c r="L47" t="s">
        <v>294</v>
      </c>
      <c r="M47" t="s">
        <v>295</v>
      </c>
      <c r="N47">
        <v>20304574</v>
      </c>
    </row>
    <row r="48" spans="1:14" x14ac:dyDescent="0.25">
      <c r="A48" t="s">
        <v>183</v>
      </c>
      <c r="B48">
        <v>143694644</v>
      </c>
      <c r="C48" s="1">
        <v>3304122602140000</v>
      </c>
      <c r="D48" s="1" t="str">
        <f>VLOOKUP(Table1[[#This Row],[nisn]],Table3[],3,FALSE)</f>
        <v>900494C5-C973-44BA-AC05-E77C67690270</v>
      </c>
      <c r="E48" s="1" t="str">
        <f>VLOOKUP(Table1[[#This Row],[sekolah_id]],Table4[],2,FALSE)</f>
        <v>SDIT INSAN MANDIRI PUNGGELAN</v>
      </c>
      <c r="F48" s="1">
        <f>VLOOKUP(Table1[[#This Row],[sekolah_id]],Table4[],3,FALSE)</f>
        <v>70015193</v>
      </c>
      <c r="H48">
        <v>3143452537</v>
      </c>
      <c r="I48" t="s">
        <v>46</v>
      </c>
      <c r="J48" t="s">
        <v>304</v>
      </c>
      <c r="L48" t="s">
        <v>296</v>
      </c>
      <c r="M48" t="s">
        <v>297</v>
      </c>
      <c r="N48">
        <v>20304465</v>
      </c>
    </row>
    <row r="49" spans="1:14" x14ac:dyDescent="0.25">
      <c r="A49" t="s">
        <v>73</v>
      </c>
      <c r="B49">
        <v>3133001672</v>
      </c>
      <c r="C49" s="1">
        <v>3304080905130000</v>
      </c>
      <c r="D49" s="1" t="str">
        <f>VLOOKUP(Table1[[#This Row],[nisn]],Table3[],3,FALSE)</f>
        <v>4063C255-2DF5-E011-A38D-479225BEAECA</v>
      </c>
      <c r="E49" s="1" t="str">
        <f>VLOOKUP(Table1[[#This Row],[sekolah_id]],Table4[],2,FALSE)</f>
        <v>SD NEGERI PENAWANGAN</v>
      </c>
      <c r="F49" s="1">
        <f>VLOOKUP(Table1[[#This Row],[sekolah_id]],Table4[],3,FALSE)</f>
        <v>20338910</v>
      </c>
      <c r="H49">
        <v>3130099972</v>
      </c>
      <c r="I49" t="s">
        <v>47</v>
      </c>
      <c r="J49" t="s">
        <v>234</v>
      </c>
      <c r="L49" t="s">
        <v>298</v>
      </c>
      <c r="M49" t="s">
        <v>299</v>
      </c>
      <c r="N49">
        <v>20304055</v>
      </c>
    </row>
    <row r="50" spans="1:14" x14ac:dyDescent="0.25">
      <c r="A50" t="s">
        <v>80</v>
      </c>
      <c r="B50">
        <v>143103718</v>
      </c>
      <c r="C50" s="1">
        <v>3304125111140000</v>
      </c>
      <c r="D50" s="1" t="str">
        <f>VLOOKUP(Table1[[#This Row],[nisn]],Table3[],3,FALSE)</f>
        <v>C057C955-2DF5-E011-9EAE-D54689DDCBD7</v>
      </c>
      <c r="E50" s="1" t="str">
        <f>VLOOKUP(Table1[[#This Row],[sekolah_id]],Table4[],2,FALSE)</f>
        <v>SD NEGERI 2 JEMBANGAN</v>
      </c>
      <c r="F50" s="1">
        <f>VLOOKUP(Table1[[#This Row],[sekolah_id]],Table4[],3,FALSE)</f>
        <v>20303865</v>
      </c>
      <c r="H50">
        <v>3140294460</v>
      </c>
      <c r="I50" t="s">
        <v>48</v>
      </c>
      <c r="J50" t="s">
        <v>278</v>
      </c>
      <c r="L50" t="s">
        <v>300</v>
      </c>
      <c r="M50" t="s">
        <v>301</v>
      </c>
      <c r="N50">
        <v>20304137</v>
      </c>
    </row>
    <row r="51" spans="1:14" x14ac:dyDescent="0.25">
      <c r="A51" t="s">
        <v>39</v>
      </c>
      <c r="B51">
        <v>3150321452</v>
      </c>
      <c r="C51" s="1">
        <v>3304121006150000</v>
      </c>
      <c r="D51" s="1" t="str">
        <f>VLOOKUP(Table1[[#This Row],[nisn]],Table3[],3,FALSE)</f>
        <v>605DC855-2DF5-E011-BF8D-4967AAA78C50</v>
      </c>
      <c r="E51" s="1" t="str">
        <f>VLOOKUP(Table1[[#This Row],[sekolah_id]],Table4[],2,FALSE)</f>
        <v>SD NEGERI 1 TLAGA</v>
      </c>
      <c r="F51" s="1">
        <f>VLOOKUP(Table1[[#This Row],[sekolah_id]],Table4[],3,FALSE)</f>
        <v>20304528</v>
      </c>
      <c r="H51">
        <v>3144399294</v>
      </c>
      <c r="I51" t="s">
        <v>49</v>
      </c>
      <c r="J51" t="s">
        <v>242</v>
      </c>
      <c r="L51" t="s">
        <v>302</v>
      </c>
      <c r="M51" t="s">
        <v>303</v>
      </c>
      <c r="N51">
        <v>20304146</v>
      </c>
    </row>
    <row r="52" spans="1:14" x14ac:dyDescent="0.25">
      <c r="A52" t="s">
        <v>149</v>
      </c>
      <c r="B52">
        <v>134665468</v>
      </c>
      <c r="C52" s="1">
        <v>3304171407130000</v>
      </c>
      <c r="D52" s="1" t="str">
        <f>VLOOKUP(Table1[[#This Row],[nisn]],Table3[],3,FALSE)</f>
        <v>7A2322A5-3851-4CC6-83E7-0BF15D6E03FE</v>
      </c>
      <c r="E52" s="1" t="str">
        <f>VLOOKUP(Table1[[#This Row],[sekolah_id]],Table4[],2,FALSE)</f>
        <v>MIS MUHAMMADIYAH WANAYASA</v>
      </c>
      <c r="F52" s="1">
        <f>VLOOKUP(Table1[[#This Row],[sekolah_id]],Table4[],3,FALSE)</f>
        <v>60710866</v>
      </c>
      <c r="H52">
        <v>3146464457</v>
      </c>
      <c r="I52" t="s">
        <v>50</v>
      </c>
      <c r="J52" t="s">
        <v>360</v>
      </c>
      <c r="L52" t="s">
        <v>304</v>
      </c>
      <c r="M52" t="s">
        <v>305</v>
      </c>
      <c r="N52">
        <v>60710829</v>
      </c>
    </row>
    <row r="53" spans="1:14" x14ac:dyDescent="0.25">
      <c r="A53" t="s">
        <v>119</v>
      </c>
      <c r="B53">
        <v>148304860</v>
      </c>
      <c r="C53" s="1">
        <v>3304035402140000</v>
      </c>
      <c r="D53" s="1" t="str">
        <f>VLOOKUP(Table1[[#This Row],[nisn]],Table3[],3,FALSE)</f>
        <v>4095B855-2DF5-E011-8003-45BF44B50837</v>
      </c>
      <c r="E53" s="1" t="str">
        <f>VLOOKUP(Table1[[#This Row],[sekolah_id]],Table4[],2,FALSE)</f>
        <v>SD NEGERI 4 PURWASABA</v>
      </c>
      <c r="F53" s="1">
        <f>VLOOKUP(Table1[[#This Row],[sekolah_id]],Table4[],3,FALSE)</f>
        <v>20338265</v>
      </c>
      <c r="H53">
        <v>144181923</v>
      </c>
      <c r="I53" t="s">
        <v>51</v>
      </c>
      <c r="J53" t="s">
        <v>248</v>
      </c>
      <c r="L53" t="s">
        <v>306</v>
      </c>
      <c r="M53" t="s">
        <v>307</v>
      </c>
      <c r="N53">
        <v>20338910</v>
      </c>
    </row>
    <row r="54" spans="1:14" x14ac:dyDescent="0.25">
      <c r="A54" t="s">
        <v>119</v>
      </c>
      <c r="B54">
        <v>148304860</v>
      </c>
      <c r="C54" s="1">
        <v>3304035402140000</v>
      </c>
      <c r="D54" s="1" t="str">
        <f>VLOOKUP(Table1[[#This Row],[nisn]],Table3[],3,FALSE)</f>
        <v>4095B855-2DF5-E011-8003-45BF44B50837</v>
      </c>
      <c r="E54" s="1" t="str">
        <f>VLOOKUP(Table1[[#This Row],[sekolah_id]],Table4[],2,FALSE)</f>
        <v>SD NEGERI 4 PURWASABA</v>
      </c>
      <c r="F54" s="1">
        <f>VLOOKUP(Table1[[#This Row],[sekolah_id]],Table4[],3,FALSE)</f>
        <v>20338265</v>
      </c>
      <c r="H54">
        <v>3139152062</v>
      </c>
      <c r="I54" t="s">
        <v>52</v>
      </c>
      <c r="J54" t="s">
        <v>234</v>
      </c>
      <c r="L54" t="s">
        <v>308</v>
      </c>
      <c r="M54" t="s">
        <v>309</v>
      </c>
      <c r="N54">
        <v>20340835</v>
      </c>
    </row>
    <row r="55" spans="1:14" x14ac:dyDescent="0.25">
      <c r="A55" t="s">
        <v>119</v>
      </c>
      <c r="B55">
        <v>148304860</v>
      </c>
      <c r="C55" s="1">
        <v>3304035402140000</v>
      </c>
      <c r="D55" s="1" t="str">
        <f>VLOOKUP(Table1[[#This Row],[nisn]],Table3[],3,FALSE)</f>
        <v>4095B855-2DF5-E011-8003-45BF44B50837</v>
      </c>
      <c r="E55" s="1" t="str">
        <f>VLOOKUP(Table1[[#This Row],[sekolah_id]],Table4[],2,FALSE)</f>
        <v>SD NEGERI 4 PURWASABA</v>
      </c>
      <c r="F55" s="1">
        <f>VLOOKUP(Table1[[#This Row],[sekolah_id]],Table4[],3,FALSE)</f>
        <v>20338265</v>
      </c>
      <c r="H55">
        <v>3152142363</v>
      </c>
      <c r="I55" t="s">
        <v>53</v>
      </c>
      <c r="J55" t="s">
        <v>242</v>
      </c>
      <c r="L55" t="s">
        <v>310</v>
      </c>
      <c r="M55" t="s">
        <v>311</v>
      </c>
      <c r="N55">
        <v>20304552</v>
      </c>
    </row>
    <row r="56" spans="1:14" x14ac:dyDescent="0.25">
      <c r="A56" t="s">
        <v>40</v>
      </c>
      <c r="B56">
        <v>138063108</v>
      </c>
      <c r="C56" s="1">
        <v>3304121002130000</v>
      </c>
      <c r="D56" s="1" t="str">
        <f>VLOOKUP(Table1[[#This Row],[nisn]],Table3[],3,FALSE)</f>
        <v>00C7C855-2DF5-E011-A71B-4FCECD211676</v>
      </c>
      <c r="E56" s="1" t="str">
        <f>VLOOKUP(Table1[[#This Row],[sekolah_id]],Table4[],2,FALSE)</f>
        <v>SD NEGERI 2 KECEPIT</v>
      </c>
      <c r="F56" s="1">
        <f>VLOOKUP(Table1[[#This Row],[sekolah_id]],Table4[],3,FALSE)</f>
        <v>20303837</v>
      </c>
      <c r="H56">
        <v>142622307</v>
      </c>
      <c r="I56" t="s">
        <v>54</v>
      </c>
      <c r="J56" t="s">
        <v>296</v>
      </c>
      <c r="L56" t="s">
        <v>312</v>
      </c>
      <c r="M56" t="s">
        <v>313</v>
      </c>
      <c r="N56">
        <v>20304584</v>
      </c>
    </row>
    <row r="57" spans="1:14" x14ac:dyDescent="0.25">
      <c r="A57" t="s">
        <v>147</v>
      </c>
      <c r="B57">
        <v>134348160</v>
      </c>
      <c r="C57" s="1">
        <v>3304080608130000</v>
      </c>
      <c r="D57" s="1" t="str">
        <f>VLOOKUP(Table1[[#This Row],[nisn]],Table3[],3,FALSE)</f>
        <v>4063C255-2DF5-E011-A38D-479225BEAECA</v>
      </c>
      <c r="E57" s="1" t="str">
        <f>VLOOKUP(Table1[[#This Row],[sekolah_id]],Table4[],2,FALSE)</f>
        <v>SD NEGERI PENAWANGAN</v>
      </c>
      <c r="F57" s="1">
        <f>VLOOKUP(Table1[[#This Row],[sekolah_id]],Table4[],3,FALSE)</f>
        <v>20338910</v>
      </c>
      <c r="H57">
        <v>132770723</v>
      </c>
      <c r="I57" t="s">
        <v>55</v>
      </c>
      <c r="J57" t="s">
        <v>244</v>
      </c>
      <c r="L57" t="s">
        <v>314</v>
      </c>
      <c r="M57" t="s">
        <v>315</v>
      </c>
      <c r="N57">
        <v>60710801</v>
      </c>
    </row>
    <row r="58" spans="1:14" x14ac:dyDescent="0.25">
      <c r="A58" t="s">
        <v>58</v>
      </c>
      <c r="B58">
        <v>3142608346</v>
      </c>
      <c r="C58" s="1">
        <v>3304050207140000</v>
      </c>
      <c r="D58" s="1" t="str">
        <f>VLOOKUP(Table1[[#This Row],[nisn]],Table3[],3,FALSE)</f>
        <v>30D1BB55-2DF5-E011-8E50-E9801445C64D</v>
      </c>
      <c r="E58" s="1" t="str">
        <f>VLOOKUP(Table1[[#This Row],[sekolah_id]],Table4[],2,FALSE)</f>
        <v>SD NEGERI 1 BANDINGAN</v>
      </c>
      <c r="F58" s="1">
        <f>VLOOKUP(Table1[[#This Row],[sekolah_id]],Table4[],3,FALSE)</f>
        <v>20304142</v>
      </c>
      <c r="H58">
        <v>147214618</v>
      </c>
      <c r="I58" t="s">
        <v>56</v>
      </c>
      <c r="J58" t="s">
        <v>320</v>
      </c>
      <c r="L58" t="s">
        <v>316</v>
      </c>
      <c r="M58" t="s">
        <v>317</v>
      </c>
      <c r="N58">
        <v>20304624</v>
      </c>
    </row>
    <row r="59" spans="1:14" x14ac:dyDescent="0.25">
      <c r="A59" t="s">
        <v>71</v>
      </c>
      <c r="B59">
        <v>3126429172</v>
      </c>
      <c r="C59" s="1">
        <v>6207095011120000</v>
      </c>
      <c r="D59" s="1" t="str">
        <f>VLOOKUP(Table1[[#This Row],[nisn]],Table3[],3,FALSE)</f>
        <v>E017BE55-2DF5-E011-86BF-EFC456463227</v>
      </c>
      <c r="E59" s="1" t="str">
        <f>VLOOKUP(Table1[[#This Row],[sekolah_id]],Table4[],2,FALSE)</f>
        <v>SD NEGERI 4 WANADRI</v>
      </c>
      <c r="F59" s="1">
        <f>VLOOKUP(Table1[[#This Row],[sekolah_id]],Table4[],3,FALSE)</f>
        <v>20304071</v>
      </c>
      <c r="H59">
        <v>3134885734</v>
      </c>
      <c r="I59" t="s">
        <v>57</v>
      </c>
      <c r="J59" t="s">
        <v>242</v>
      </c>
      <c r="L59" t="s">
        <v>318</v>
      </c>
      <c r="M59" t="s">
        <v>319</v>
      </c>
      <c r="N59">
        <v>20338257</v>
      </c>
    </row>
    <row r="60" spans="1:14" x14ac:dyDescent="0.25">
      <c r="A60" t="s">
        <v>153</v>
      </c>
      <c r="B60">
        <v>3132098766</v>
      </c>
      <c r="C60" s="1">
        <v>3304054908130000</v>
      </c>
      <c r="D60" s="1" t="str">
        <f>VLOOKUP(Table1[[#This Row],[nisn]],Table3[],3,FALSE)</f>
        <v>E017BE55-2DF5-E011-86BF-EFC456463227</v>
      </c>
      <c r="E60" s="1" t="str">
        <f>VLOOKUP(Table1[[#This Row],[sekolah_id]],Table4[],2,FALSE)</f>
        <v>SD NEGERI 4 WANADRI</v>
      </c>
      <c r="F60" s="1">
        <f>VLOOKUP(Table1[[#This Row],[sekolah_id]],Table4[],3,FALSE)</f>
        <v>20304071</v>
      </c>
      <c r="H60">
        <v>3142608346</v>
      </c>
      <c r="I60" t="s">
        <v>58</v>
      </c>
      <c r="J60" t="s">
        <v>240</v>
      </c>
      <c r="L60" t="s">
        <v>320</v>
      </c>
      <c r="M60" t="s">
        <v>321</v>
      </c>
      <c r="N60">
        <v>60710835</v>
      </c>
    </row>
    <row r="61" spans="1:14" x14ac:dyDescent="0.25">
      <c r="A61" t="s">
        <v>186</v>
      </c>
      <c r="B61">
        <v>3163800052</v>
      </c>
      <c r="C61" s="1">
        <v>3304114108160000</v>
      </c>
      <c r="D61" s="1" t="str">
        <f>VLOOKUP(Table1[[#This Row],[nisn]],Table3[],3,FALSE)</f>
        <v>90ACC755-2DF5-E011-B07A-3367282A230C</v>
      </c>
      <c r="E61" s="1" t="str">
        <f>VLOOKUP(Table1[[#This Row],[sekolah_id]],Table4[],2,FALSE)</f>
        <v>SD NEGERI 5 LENGKONG</v>
      </c>
      <c r="F61" s="1">
        <f>VLOOKUP(Table1[[#This Row],[sekolah_id]],Table4[],3,FALSE)</f>
        <v>20304149</v>
      </c>
      <c r="H61">
        <v>146539724</v>
      </c>
      <c r="I61" t="s">
        <v>59</v>
      </c>
      <c r="J61" t="s">
        <v>346</v>
      </c>
      <c r="L61" t="s">
        <v>322</v>
      </c>
      <c r="M61" t="s">
        <v>323</v>
      </c>
      <c r="N61">
        <v>20304620</v>
      </c>
    </row>
    <row r="62" spans="1:14" x14ac:dyDescent="0.25">
      <c r="A62" t="s">
        <v>158</v>
      </c>
      <c r="B62">
        <v>149163102</v>
      </c>
      <c r="C62" s="1">
        <v>3304186904140000</v>
      </c>
      <c r="D62" s="1" t="str">
        <f>VLOOKUP(Table1[[#This Row],[nisn]],Table3[],3,FALSE)</f>
        <v>6086D555-2DF5-E011-95CB-D33E6E27C5CE</v>
      </c>
      <c r="E62" s="1" t="str">
        <f>VLOOKUP(Table1[[#This Row],[sekolah_id]],Table4[],2,FALSE)</f>
        <v>SD NEGERI 1 KALIBOMBONG</v>
      </c>
      <c r="F62" s="1">
        <f>VLOOKUP(Table1[[#This Row],[sekolah_id]],Table4[],3,FALSE)</f>
        <v>20304635</v>
      </c>
      <c r="H62">
        <v>158494031</v>
      </c>
      <c r="I62" t="s">
        <v>60</v>
      </c>
      <c r="J62" t="s">
        <v>356</v>
      </c>
      <c r="L62" t="s">
        <v>324</v>
      </c>
      <c r="M62" t="s">
        <v>325</v>
      </c>
      <c r="N62">
        <v>20304496</v>
      </c>
    </row>
    <row r="63" spans="1:14" x14ac:dyDescent="0.25">
      <c r="A63" t="s">
        <v>34</v>
      </c>
      <c r="B63">
        <v>145457973</v>
      </c>
      <c r="C63" s="1">
        <v>3304135207140000</v>
      </c>
      <c r="D63" s="1" t="str">
        <f>VLOOKUP(Table1[[#This Row],[nisn]],Table3[],3,FALSE)</f>
        <v>E04BCB55-2DF5-E011-83F2-71D497E27128</v>
      </c>
      <c r="E63" s="1" t="str">
        <f>VLOOKUP(Table1[[#This Row],[sekolah_id]],Table4[],2,FALSE)</f>
        <v>SDN 2 Karanggondang</v>
      </c>
      <c r="F63" s="1">
        <f>VLOOKUP(Table1[[#This Row],[sekolah_id]],Table4[],3,FALSE)</f>
        <v>20303819</v>
      </c>
      <c r="H63">
        <v>3133914436</v>
      </c>
      <c r="I63" t="s">
        <v>61</v>
      </c>
      <c r="J63" t="s">
        <v>216</v>
      </c>
      <c r="L63" t="s">
        <v>326</v>
      </c>
      <c r="M63" t="s">
        <v>327</v>
      </c>
      <c r="N63">
        <v>20338265</v>
      </c>
    </row>
    <row r="64" spans="1:14" x14ac:dyDescent="0.25">
      <c r="A64" t="s">
        <v>118</v>
      </c>
      <c r="B64">
        <v>146396636</v>
      </c>
      <c r="C64" s="1">
        <v>3304191008140000</v>
      </c>
      <c r="D64" s="1" t="str">
        <f>VLOOKUP(Table1[[#This Row],[nisn]],Table3[],3,FALSE)</f>
        <v>60BAD555-2DF5-E011-B469-2D2E5A0AFD1B</v>
      </c>
      <c r="E64" s="1" t="str">
        <f>VLOOKUP(Table1[[#This Row],[sekolah_id]],Table4[],2,FALSE)</f>
        <v>SD NEGERI 1 PASEGERAN</v>
      </c>
      <c r="F64" s="1">
        <f>VLOOKUP(Table1[[#This Row],[sekolah_id]],Table4[],3,FALSE)</f>
        <v>20304463</v>
      </c>
      <c r="H64">
        <v>3158779306</v>
      </c>
      <c r="I64" t="s">
        <v>62</v>
      </c>
      <c r="J64" t="s">
        <v>346</v>
      </c>
      <c r="L64" t="s">
        <v>328</v>
      </c>
      <c r="M64" t="s">
        <v>329</v>
      </c>
      <c r="N64">
        <v>20304527</v>
      </c>
    </row>
    <row r="65" spans="1:14" x14ac:dyDescent="0.25">
      <c r="A65" t="s">
        <v>193</v>
      </c>
      <c r="B65">
        <v>133201999</v>
      </c>
      <c r="C65" s="1">
        <v>1813105007150000</v>
      </c>
      <c r="D65" s="1" t="str">
        <f>VLOOKUP(Table1[[#This Row],[nisn]],Table3[],3,FALSE)</f>
        <v>6086D555-2DF5-E011-95CB-D33E6E27C5CE</v>
      </c>
      <c r="E65" s="1" t="str">
        <f>VLOOKUP(Table1[[#This Row],[sekolah_id]],Table4[],2,FALSE)</f>
        <v>SD NEGERI 1 KALIBOMBONG</v>
      </c>
      <c r="F65" s="1">
        <f>VLOOKUP(Table1[[#This Row],[sekolah_id]],Table4[],3,FALSE)</f>
        <v>20304635</v>
      </c>
      <c r="H65">
        <v>3135461581</v>
      </c>
      <c r="I65" t="s">
        <v>63</v>
      </c>
      <c r="J65" t="s">
        <v>212</v>
      </c>
      <c r="L65" t="s">
        <v>330</v>
      </c>
      <c r="M65" t="s">
        <v>331</v>
      </c>
      <c r="N65">
        <v>20303813</v>
      </c>
    </row>
    <row r="66" spans="1:14" x14ac:dyDescent="0.25">
      <c r="A66" t="s">
        <v>20</v>
      </c>
      <c r="B66">
        <v>135125327</v>
      </c>
      <c r="C66" s="1">
        <v>3304130602130000</v>
      </c>
      <c r="D66" s="1" t="str">
        <f>VLOOKUP(Table1[[#This Row],[nisn]],Table3[],3,FALSE)</f>
        <v>E04BCB55-2DF5-E011-83F2-71D497E27128</v>
      </c>
      <c r="E66" s="1" t="str">
        <f>VLOOKUP(Table1[[#This Row],[sekolah_id]],Table4[],2,FALSE)</f>
        <v>SDN 2 Karanggondang</v>
      </c>
      <c r="F66" s="1">
        <f>VLOOKUP(Table1[[#This Row],[sekolah_id]],Table4[],3,FALSE)</f>
        <v>20303819</v>
      </c>
      <c r="H66">
        <v>143599674</v>
      </c>
      <c r="I66" t="s">
        <v>64</v>
      </c>
      <c r="J66" t="s">
        <v>332</v>
      </c>
      <c r="L66" t="s">
        <v>332</v>
      </c>
      <c r="M66" t="s">
        <v>333</v>
      </c>
      <c r="N66">
        <v>20304463</v>
      </c>
    </row>
    <row r="67" spans="1:14" x14ac:dyDescent="0.25">
      <c r="A67" t="s">
        <v>103</v>
      </c>
      <c r="B67">
        <v>3182377267</v>
      </c>
      <c r="C67" s="1">
        <v>3304032503180000</v>
      </c>
      <c r="D67" s="1" t="str">
        <f>VLOOKUP(Table1[[#This Row],[nisn]],Table3[],3,FALSE)</f>
        <v>A044B855-2DF5-E011-AF5A-BFAF5382C433</v>
      </c>
      <c r="E67" s="1" t="str">
        <f>VLOOKUP(Table1[[#This Row],[sekolah_id]],Table4[],2,FALSE)</f>
        <v>SD NEGERI 3 MANDIRAJA WETAN</v>
      </c>
      <c r="F67" s="1">
        <f>VLOOKUP(Table1[[#This Row],[sekolah_id]],Table4[],3,FALSE)</f>
        <v>20340835</v>
      </c>
      <c r="H67">
        <v>139609375</v>
      </c>
      <c r="I67" t="s">
        <v>65</v>
      </c>
      <c r="J67" t="s">
        <v>342</v>
      </c>
      <c r="L67" t="s">
        <v>334</v>
      </c>
      <c r="M67" t="s">
        <v>335</v>
      </c>
      <c r="N67">
        <v>60710826</v>
      </c>
    </row>
    <row r="68" spans="1:14" x14ac:dyDescent="0.25">
      <c r="A68" t="s">
        <v>65</v>
      </c>
      <c r="B68">
        <v>139609375</v>
      </c>
      <c r="C68" s="1">
        <v>3304081310130000</v>
      </c>
      <c r="D68" s="1" t="str">
        <f>VLOOKUP(Table1[[#This Row],[nisn]],Table3[],3,FALSE)</f>
        <v>70F9C155-2DF5-E011-8925-333A91567E9E</v>
      </c>
      <c r="E68" s="1" t="str">
        <f>VLOOKUP(Table1[[#This Row],[sekolah_id]],Table4[],2,FALSE)</f>
        <v>SD NEGERI 1 GUNUNGGIANA</v>
      </c>
      <c r="F68" s="1">
        <f>VLOOKUP(Table1[[#This Row],[sekolah_id]],Table4[],3,FALSE)</f>
        <v>20304571</v>
      </c>
      <c r="H68">
        <v>3130355111</v>
      </c>
      <c r="I68" t="s">
        <v>66</v>
      </c>
      <c r="J68" t="s">
        <v>312</v>
      </c>
      <c r="L68" t="s">
        <v>336</v>
      </c>
      <c r="M68" t="s">
        <v>337</v>
      </c>
      <c r="N68">
        <v>20304629</v>
      </c>
    </row>
    <row r="69" spans="1:14" x14ac:dyDescent="0.25">
      <c r="A69" t="s">
        <v>188</v>
      </c>
      <c r="B69">
        <v>142600560</v>
      </c>
      <c r="C69" s="1">
        <v>3304011109140000</v>
      </c>
      <c r="D69" s="1" t="str">
        <f>VLOOKUP(Table1[[#This Row],[nisn]],Table3[],3,FALSE)</f>
        <v>404AB355-2DF5-E011-8E9A-FD847D4A0D28</v>
      </c>
      <c r="E69" s="1" t="str">
        <f>VLOOKUP(Table1[[#This Row],[sekolah_id]],Table4[],2,FALSE)</f>
        <v>SD NEGERI PIASA WETAN</v>
      </c>
      <c r="F69" s="1">
        <f>VLOOKUP(Table1[[#This Row],[sekolah_id]],Table4[],3,FALSE)</f>
        <v>20303969</v>
      </c>
      <c r="H69">
        <v>3131503392</v>
      </c>
      <c r="I69" t="s">
        <v>67</v>
      </c>
      <c r="J69" t="s">
        <v>308</v>
      </c>
      <c r="L69" t="s">
        <v>338</v>
      </c>
      <c r="M69" t="s">
        <v>339</v>
      </c>
      <c r="N69">
        <v>20304452</v>
      </c>
    </row>
    <row r="70" spans="1:14" x14ac:dyDescent="0.25">
      <c r="A70" t="s">
        <v>146</v>
      </c>
      <c r="B70">
        <v>3136291349</v>
      </c>
      <c r="C70" s="1">
        <v>3304064109130000</v>
      </c>
      <c r="D70" s="1" t="str">
        <f>VLOOKUP(Table1[[#This Row],[nisn]],Table3[],3,FALSE)</f>
        <v>C013BF55-2DF5-E011-9E4E-7F13E74E6CD5</v>
      </c>
      <c r="E70" s="1" t="str">
        <f>VLOOKUP(Table1[[#This Row],[sekolah_id]],Table4[],2,FALSE)</f>
        <v>SD NEGERI 1 ARGASOKA</v>
      </c>
      <c r="F70" s="1">
        <f>VLOOKUP(Table1[[#This Row],[sekolah_id]],Table4[],3,FALSE)</f>
        <v>20304584</v>
      </c>
      <c r="H70">
        <v>133089255</v>
      </c>
      <c r="I70" t="s">
        <v>68</v>
      </c>
      <c r="J70" t="s">
        <v>358</v>
      </c>
      <c r="L70" t="s">
        <v>340</v>
      </c>
      <c r="M70" t="s">
        <v>341</v>
      </c>
      <c r="N70">
        <v>20304149</v>
      </c>
    </row>
    <row r="71" spans="1:14" x14ac:dyDescent="0.25">
      <c r="A71" t="s">
        <v>79</v>
      </c>
      <c r="B71">
        <v>3134363801</v>
      </c>
      <c r="C71" s="1">
        <v>3304115412130000</v>
      </c>
      <c r="D71" s="1" t="str">
        <f>VLOOKUP(Table1[[#This Row],[nisn]],Table3[],3,FALSE)</f>
        <v>F71CBB1F-DF59-40B4-9BBE-AFA1BED8B314</v>
      </c>
      <c r="E71" s="1" t="str">
        <f>VLOOKUP(Table1[[#This Row],[sekolah_id]],Table4[],2,FALSE)</f>
        <v>MIS AL MAARIF GELANG</v>
      </c>
      <c r="F71" s="1">
        <f>VLOOKUP(Table1[[#This Row],[sekolah_id]],Table4[],3,FALSE)</f>
        <v>60710829</v>
      </c>
      <c r="H71">
        <v>3137021409</v>
      </c>
      <c r="I71" t="s">
        <v>69</v>
      </c>
      <c r="J71" t="s">
        <v>216</v>
      </c>
      <c r="L71" t="s">
        <v>342</v>
      </c>
      <c r="M71" t="s">
        <v>343</v>
      </c>
      <c r="N71">
        <v>20304571</v>
      </c>
    </row>
    <row r="72" spans="1:14" x14ac:dyDescent="0.25">
      <c r="A72" t="s">
        <v>132</v>
      </c>
      <c r="B72">
        <v>3132289119</v>
      </c>
      <c r="C72" s="1">
        <v>3304120711130000</v>
      </c>
      <c r="D72" s="1" t="str">
        <f>VLOOKUP(Table1[[#This Row],[nisn]],Table3[],3,FALSE)</f>
        <v>563EB08C-5E6C-4AE0-864A-BCD188C44A75</v>
      </c>
      <c r="E72" s="1" t="str">
        <f>VLOOKUP(Table1[[#This Row],[sekolah_id]],Table4[],2,FALSE)</f>
        <v>MIS COKROAMINOTO 02 PETUGURAN</v>
      </c>
      <c r="F72" s="1">
        <f>VLOOKUP(Table1[[#This Row],[sekolah_id]],Table4[],3,FALSE)</f>
        <v>60710783</v>
      </c>
      <c r="H72">
        <v>3147446643</v>
      </c>
      <c r="I72" t="s">
        <v>70</v>
      </c>
      <c r="J72" t="s">
        <v>206</v>
      </c>
      <c r="L72" t="s">
        <v>344</v>
      </c>
      <c r="M72" t="s">
        <v>345</v>
      </c>
      <c r="N72">
        <v>20303969</v>
      </c>
    </row>
    <row r="73" spans="1:14" x14ac:dyDescent="0.25">
      <c r="A73" t="s">
        <v>97</v>
      </c>
      <c r="B73">
        <v>151773934</v>
      </c>
      <c r="C73" s="1">
        <v>3304172601150000</v>
      </c>
      <c r="D73" s="1" t="str">
        <f>VLOOKUP(Table1[[#This Row],[nisn]],Table3[],3,FALSE)</f>
        <v>90B4D355-2DF5-E011-9171-DB4E484A8875</v>
      </c>
      <c r="E73" s="1" t="str">
        <f>VLOOKUP(Table1[[#This Row],[sekolah_id]],Table4[],2,FALSE)</f>
        <v>SD NEGERI 1 TEMPURAN</v>
      </c>
      <c r="F73" s="1">
        <f>VLOOKUP(Table1[[#This Row],[sekolah_id]],Table4[],3,FALSE)</f>
        <v>20304529</v>
      </c>
      <c r="H73">
        <v>3126429172</v>
      </c>
      <c r="I73" t="s">
        <v>71</v>
      </c>
      <c r="J73" t="s">
        <v>290</v>
      </c>
      <c r="L73" t="s">
        <v>346</v>
      </c>
      <c r="M73" t="s">
        <v>347</v>
      </c>
      <c r="N73">
        <v>20303922</v>
      </c>
    </row>
    <row r="74" spans="1:14" x14ac:dyDescent="0.25">
      <c r="A74" t="s">
        <v>90</v>
      </c>
      <c r="B74">
        <v>145648195</v>
      </c>
      <c r="C74" s="1">
        <v>3304062804140000</v>
      </c>
      <c r="D74" s="1" t="str">
        <f>VLOOKUP(Table1[[#This Row],[nisn]],Table3[],3,FALSE)</f>
        <v>500EC355-2DF5-E011-A835-5FD04A2AEA22</v>
      </c>
      <c r="E74" s="1" t="str">
        <f>VLOOKUP(Table1[[#This Row],[sekolah_id]],Table4[],2,FALSE)</f>
        <v>SD NEGERI 1 CENDANA</v>
      </c>
      <c r="F74" s="1">
        <f>VLOOKUP(Table1[[#This Row],[sekolah_id]],Table4[],3,FALSE)</f>
        <v>20304576</v>
      </c>
      <c r="H74">
        <v>3130961327</v>
      </c>
      <c r="I74" t="s">
        <v>72</v>
      </c>
      <c r="J74" t="s">
        <v>254</v>
      </c>
      <c r="L74" t="s">
        <v>348</v>
      </c>
      <c r="M74" t="s">
        <v>349</v>
      </c>
      <c r="N74">
        <v>20304548</v>
      </c>
    </row>
    <row r="75" spans="1:14" x14ac:dyDescent="0.25">
      <c r="A75" t="s">
        <v>130</v>
      </c>
      <c r="B75">
        <v>3146409141</v>
      </c>
      <c r="C75" s="1">
        <v>3304080901140000</v>
      </c>
      <c r="D75" s="1" t="str">
        <f>VLOOKUP(Table1[[#This Row],[nisn]],Table3[],3,FALSE)</f>
        <v>4063C255-2DF5-E011-A38D-479225BEAECA</v>
      </c>
      <c r="E75" s="1" t="str">
        <f>VLOOKUP(Table1[[#This Row],[sekolah_id]],Table4[],2,FALSE)</f>
        <v>SD NEGERI PENAWANGAN</v>
      </c>
      <c r="F75" s="1">
        <f>VLOOKUP(Table1[[#This Row],[sekolah_id]],Table4[],3,FALSE)</f>
        <v>20338910</v>
      </c>
      <c r="H75">
        <v>3133001672</v>
      </c>
      <c r="I75" t="s">
        <v>73</v>
      </c>
      <c r="J75" t="s">
        <v>306</v>
      </c>
      <c r="L75" t="s">
        <v>350</v>
      </c>
      <c r="M75" t="s">
        <v>351</v>
      </c>
      <c r="N75">
        <v>60710795</v>
      </c>
    </row>
    <row r="76" spans="1:14" x14ac:dyDescent="0.25">
      <c r="A76" t="s">
        <v>105</v>
      </c>
      <c r="B76">
        <v>3153070162</v>
      </c>
      <c r="C76" s="1">
        <v>3304111504150000</v>
      </c>
      <c r="D76" s="1" t="str">
        <f>VLOOKUP(Table1[[#This Row],[nisn]],Table3[],3,FALSE)</f>
        <v>A6F99D00-F0E9-49F4-8A8B-1600D3C8564F</v>
      </c>
      <c r="E76" s="1" t="str">
        <f>VLOOKUP(Table1[[#This Row],[sekolah_id]],Table4[],2,FALSE)</f>
        <v>MIS NU KINCANG</v>
      </c>
      <c r="F76" s="1">
        <f>VLOOKUP(Table1[[#This Row],[sekolah_id]],Table4[],3,FALSE)</f>
        <v>60710835</v>
      </c>
      <c r="H76">
        <v>3147431340</v>
      </c>
      <c r="I76" t="s">
        <v>74</v>
      </c>
      <c r="J76" t="s">
        <v>206</v>
      </c>
      <c r="L76" t="s">
        <v>352</v>
      </c>
      <c r="M76" t="s">
        <v>353</v>
      </c>
      <c r="N76">
        <v>20303805</v>
      </c>
    </row>
    <row r="77" spans="1:14" x14ac:dyDescent="0.25">
      <c r="A77" t="s">
        <v>36</v>
      </c>
      <c r="B77">
        <v>131400415</v>
      </c>
      <c r="C77" s="1">
        <v>3304081602130000</v>
      </c>
      <c r="D77" s="1" t="str">
        <f>VLOOKUP(Table1[[#This Row],[nisn]],Table3[],3,FALSE)</f>
        <v>70F9C155-2DF5-E011-8925-333A91567E9E</v>
      </c>
      <c r="E77" s="1" t="str">
        <f>VLOOKUP(Table1[[#This Row],[sekolah_id]],Table4[],2,FALSE)</f>
        <v>SD NEGERI 1 GUNUNGGIANA</v>
      </c>
      <c r="F77" s="1">
        <f>VLOOKUP(Table1[[#This Row],[sekolah_id]],Table4[],3,FALSE)</f>
        <v>20304571</v>
      </c>
      <c r="H77">
        <v>137895265</v>
      </c>
      <c r="I77" t="s">
        <v>75</v>
      </c>
      <c r="J77" t="s">
        <v>290</v>
      </c>
      <c r="L77" t="s">
        <v>354</v>
      </c>
      <c r="M77" t="s">
        <v>355</v>
      </c>
      <c r="N77">
        <v>60710783</v>
      </c>
    </row>
    <row r="78" spans="1:14" x14ac:dyDescent="0.25">
      <c r="A78" t="s">
        <v>185</v>
      </c>
      <c r="B78">
        <v>142817193</v>
      </c>
      <c r="C78" s="1">
        <v>3304012003140000</v>
      </c>
      <c r="D78" s="1" t="str">
        <f>VLOOKUP(Table1[[#This Row],[nisn]],Table3[],3,FALSE)</f>
        <v>404AB355-2DF5-E011-8E9A-FD847D4A0D28</v>
      </c>
      <c r="E78" s="1" t="str">
        <f>VLOOKUP(Table1[[#This Row],[sekolah_id]],Table4[],2,FALSE)</f>
        <v>SD NEGERI PIASA WETAN</v>
      </c>
      <c r="F78" s="1">
        <f>VLOOKUP(Table1[[#This Row],[sekolah_id]],Table4[],3,FALSE)</f>
        <v>20303969</v>
      </c>
      <c r="H78">
        <v>139210922</v>
      </c>
      <c r="I78" t="s">
        <v>76</v>
      </c>
      <c r="J78" t="s">
        <v>208</v>
      </c>
      <c r="L78" t="s">
        <v>356</v>
      </c>
      <c r="M78" t="s">
        <v>357</v>
      </c>
      <c r="N78">
        <v>20338245</v>
      </c>
    </row>
    <row r="79" spans="1:14" x14ac:dyDescent="0.25">
      <c r="A79" t="s">
        <v>108</v>
      </c>
      <c r="B79">
        <v>3134110812</v>
      </c>
      <c r="C79" s="1">
        <v>3304121011130000</v>
      </c>
      <c r="D79" s="1" t="str">
        <f>VLOOKUP(Table1[[#This Row],[nisn]],Table3[],3,FALSE)</f>
        <v>7030C855-2DF5-E011-B9BD-1D424346E96E</v>
      </c>
      <c r="E79" s="1" t="str">
        <f>VLOOKUP(Table1[[#This Row],[sekolah_id]],Table4[],2,FALSE)</f>
        <v>SD NEGERI 2 BONDOLHARJO</v>
      </c>
      <c r="F79" s="1">
        <f>VLOOKUP(Table1[[#This Row],[sekolah_id]],Table4[],3,FALSE)</f>
        <v>20304494</v>
      </c>
      <c r="H79">
        <v>3144701478</v>
      </c>
      <c r="I79" t="s">
        <v>77</v>
      </c>
      <c r="J79" t="s">
        <v>310</v>
      </c>
      <c r="L79" t="s">
        <v>358</v>
      </c>
      <c r="M79" t="s">
        <v>359</v>
      </c>
      <c r="N79">
        <v>20304611</v>
      </c>
    </row>
    <row r="80" spans="1:14" x14ac:dyDescent="0.25">
      <c r="A80" t="s">
        <v>190</v>
      </c>
      <c r="B80">
        <v>3140232539</v>
      </c>
      <c r="C80" s="1">
        <v>3304030605140000</v>
      </c>
      <c r="D80" s="1" t="str">
        <f>VLOOKUP(Table1[[#This Row],[nisn]],Table3[],3,FALSE)</f>
        <v>105FB855-2DF5-E011-AD93-C919C546F037</v>
      </c>
      <c r="E80" s="1" t="str">
        <f>VLOOKUP(Table1[[#This Row],[sekolah_id]],Table4[],2,FALSE)</f>
        <v>SD NEGERI 3 MANDIRAJA KULON</v>
      </c>
      <c r="F80" s="1">
        <f>VLOOKUP(Table1[[#This Row],[sekolah_id]],Table4[],3,FALSE)</f>
        <v>20338257</v>
      </c>
      <c r="H80">
        <v>3142038384</v>
      </c>
      <c r="I80" t="s">
        <v>78</v>
      </c>
      <c r="J80" t="s">
        <v>262</v>
      </c>
      <c r="L80" t="s">
        <v>360</v>
      </c>
      <c r="M80" t="s">
        <v>361</v>
      </c>
      <c r="N80">
        <v>20303750</v>
      </c>
    </row>
    <row r="81" spans="1:14" x14ac:dyDescent="0.25">
      <c r="A81" t="s">
        <v>99</v>
      </c>
      <c r="B81">
        <v>146689382</v>
      </c>
      <c r="C81" s="1">
        <v>3304096603140000</v>
      </c>
      <c r="D81" s="1" t="str">
        <f>VLOOKUP(Table1[[#This Row],[nisn]],Table3[],3,FALSE)</f>
        <v>90A0C355-2DF5-E011-8702-BDAAC1C63FB6</v>
      </c>
      <c r="E81" s="1" t="str">
        <f>VLOOKUP(Table1[[#This Row],[sekolah_id]],Table4[],2,FALSE)</f>
        <v>SD NEGERI 1 PRENDENGAN</v>
      </c>
      <c r="F81" s="1">
        <f>VLOOKUP(Table1[[#This Row],[sekolah_id]],Table4[],3,FALSE)</f>
        <v>20304419</v>
      </c>
      <c r="H81">
        <v>3134363801</v>
      </c>
      <c r="I81" t="s">
        <v>79</v>
      </c>
      <c r="J81" t="s">
        <v>304</v>
      </c>
      <c r="L81" t="s">
        <v>362</v>
      </c>
      <c r="M81" t="s">
        <v>363</v>
      </c>
      <c r="N81">
        <v>20304481</v>
      </c>
    </row>
    <row r="82" spans="1:14" x14ac:dyDescent="0.25">
      <c r="A82" t="s">
        <v>59</v>
      </c>
      <c r="B82">
        <v>146539724</v>
      </c>
      <c r="C82" s="1">
        <v>3304176804140000</v>
      </c>
      <c r="D82" s="1" t="str">
        <f>VLOOKUP(Table1[[#This Row],[nisn]],Table3[],3,FALSE)</f>
        <v>C0EDD355-2DF5-E011-9349-674A6FF36591</v>
      </c>
      <c r="E82" s="1" t="str">
        <f>VLOOKUP(Table1[[#This Row],[sekolah_id]],Table4[],2,FALSE)</f>
        <v>SD NEGERI 2 PANDANSARI</v>
      </c>
      <c r="F82" s="1">
        <f>VLOOKUP(Table1[[#This Row],[sekolah_id]],Table4[],3,FALSE)</f>
        <v>20303922</v>
      </c>
      <c r="H82">
        <v>143103718</v>
      </c>
      <c r="I82" t="s">
        <v>80</v>
      </c>
      <c r="J82" t="s">
        <v>256</v>
      </c>
      <c r="L82" t="s">
        <v>364</v>
      </c>
      <c r="M82" t="s">
        <v>365</v>
      </c>
      <c r="N82">
        <v>20303723</v>
      </c>
    </row>
    <row r="83" spans="1:14" x14ac:dyDescent="0.25">
      <c r="A83" t="s">
        <v>60</v>
      </c>
      <c r="B83">
        <v>158494031</v>
      </c>
      <c r="C83" s="1">
        <v>3304030209150000</v>
      </c>
      <c r="D83" s="1" t="str">
        <f>VLOOKUP(Table1[[#This Row],[nisn]],Table3[],3,FALSE)</f>
        <v>40DAB755-2DF5-E011-A6BA-EF035228F163</v>
      </c>
      <c r="E83" s="1" t="str">
        <f>VLOOKUP(Table1[[#This Row],[sekolah_id]],Table4[],2,FALSE)</f>
        <v>SD NEGERI 1 SOMAWANGI</v>
      </c>
      <c r="F83" s="1">
        <f>VLOOKUP(Table1[[#This Row],[sekolah_id]],Table4[],3,FALSE)</f>
        <v>20338245</v>
      </c>
      <c r="H83">
        <v>3156323354</v>
      </c>
      <c r="I83" t="s">
        <v>81</v>
      </c>
      <c r="J83" t="s">
        <v>346</v>
      </c>
      <c r="L83" t="s">
        <v>366</v>
      </c>
      <c r="M83" t="s">
        <v>367</v>
      </c>
      <c r="N83">
        <v>60710840</v>
      </c>
    </row>
    <row r="84" spans="1:14" x14ac:dyDescent="0.25">
      <c r="A84" t="s">
        <v>154</v>
      </c>
      <c r="B84">
        <v>138870035</v>
      </c>
      <c r="C84" s="1">
        <v>3304196502130000</v>
      </c>
      <c r="D84" s="1" t="str">
        <f>VLOOKUP(Table1[[#This Row],[nisn]],Table3[],3,FALSE)</f>
        <v>60BAD555-2DF5-E011-B469-2D2E5A0AFD1B</v>
      </c>
      <c r="E84" s="1" t="str">
        <f>VLOOKUP(Table1[[#This Row],[sekolah_id]],Table4[],2,FALSE)</f>
        <v>SD NEGERI 1 PASEGERAN</v>
      </c>
      <c r="F84" s="1">
        <f>VLOOKUP(Table1[[#This Row],[sekolah_id]],Table4[],3,FALSE)</f>
        <v>20304463</v>
      </c>
      <c r="H84">
        <v>3138292628</v>
      </c>
      <c r="I84" t="s">
        <v>82</v>
      </c>
      <c r="J84" t="s">
        <v>332</v>
      </c>
    </row>
    <row r="85" spans="1:14" x14ac:dyDescent="0.25">
      <c r="A85" t="s">
        <v>124</v>
      </c>
      <c r="B85">
        <v>143230813</v>
      </c>
      <c r="C85" s="1">
        <v>3304085812140000</v>
      </c>
      <c r="D85" s="1" t="str">
        <f>VLOOKUP(Table1[[#This Row],[nisn]],Table3[],3,FALSE)</f>
        <v>6079C055-2DF5-E011-9B77-D303F77FB572</v>
      </c>
      <c r="E85" s="1" t="str">
        <f>VLOOKUP(Table1[[#This Row],[sekolah_id]],Table4[],2,FALSE)</f>
        <v>SD NEGERI 2 SOKAYASA</v>
      </c>
      <c r="F85" s="1">
        <f>VLOOKUP(Table1[[#This Row],[sekolah_id]],Table4[],3,FALSE)</f>
        <v>20303750</v>
      </c>
      <c r="H85">
        <v>3146808309</v>
      </c>
      <c r="I85" t="s">
        <v>83</v>
      </c>
      <c r="J85" t="s">
        <v>254</v>
      </c>
    </row>
    <row r="86" spans="1:14" x14ac:dyDescent="0.25">
      <c r="A86" t="s">
        <v>156</v>
      </c>
      <c r="B86">
        <v>167330368</v>
      </c>
      <c r="C86" s="1">
        <v>3304170402160000</v>
      </c>
      <c r="D86" s="1" t="str">
        <f>VLOOKUP(Table1[[#This Row],[nisn]],Table3[],3,FALSE)</f>
        <v>C0EDD355-2DF5-E011-9349-674A6FF36591</v>
      </c>
      <c r="E86" s="1" t="str">
        <f>VLOOKUP(Table1[[#This Row],[sekolah_id]],Table4[],2,FALSE)</f>
        <v>SD NEGERI 2 PANDANSARI</v>
      </c>
      <c r="F86" s="1">
        <f>VLOOKUP(Table1[[#This Row],[sekolah_id]],Table4[],3,FALSE)</f>
        <v>20303922</v>
      </c>
      <c r="H86">
        <v>3146360022</v>
      </c>
      <c r="I86" t="s">
        <v>84</v>
      </c>
      <c r="J86" t="s">
        <v>360</v>
      </c>
    </row>
    <row r="87" spans="1:14" x14ac:dyDescent="0.25">
      <c r="A87" t="s">
        <v>68</v>
      </c>
      <c r="B87">
        <v>133089255</v>
      </c>
      <c r="C87" s="1">
        <v>3304162807130000</v>
      </c>
      <c r="D87" s="1" t="str">
        <f>VLOOKUP(Table1[[#This Row],[nisn]],Table3[],3,FALSE)</f>
        <v>4003C555-2DF5-E011-A0A0-B5A41D115A94</v>
      </c>
      <c r="E87" s="1" t="str">
        <f>VLOOKUP(Table1[[#This Row],[sekolah_id]],Table4[],2,FALSE)</f>
        <v>SD NEGERI 1 KEPAKISAN</v>
      </c>
      <c r="F87" s="1">
        <f>VLOOKUP(Table1[[#This Row],[sekolah_id]],Table4[],3,FALSE)</f>
        <v>20304611</v>
      </c>
      <c r="H87">
        <v>3132051443</v>
      </c>
      <c r="I87" t="s">
        <v>85</v>
      </c>
      <c r="J87" t="s">
        <v>286</v>
      </c>
    </row>
    <row r="88" spans="1:14" x14ac:dyDescent="0.25">
      <c r="A88" t="s">
        <v>17</v>
      </c>
      <c r="B88">
        <v>133994377</v>
      </c>
      <c r="C88" s="1">
        <v>3304200308140000</v>
      </c>
      <c r="D88" s="1" t="str">
        <f>VLOOKUP(Table1[[#This Row],[nisn]],Table3[],3,FALSE)</f>
        <v>400EC055-2DF5-E011-BD0D-A956EB840D80</v>
      </c>
      <c r="E88" s="1" t="str">
        <f>VLOOKUP(Table1[[#This Row],[sekolah_id]],Table4[],2,FALSE)</f>
        <v>SD NEGERI 3 PAGEDONGAN</v>
      </c>
      <c r="F88" s="1">
        <f>VLOOKUP(Table1[[#This Row],[sekolah_id]],Table4[],3,FALSE)</f>
        <v>20303758</v>
      </c>
      <c r="H88">
        <v>3143621302</v>
      </c>
      <c r="I88" t="s">
        <v>86</v>
      </c>
      <c r="J88" t="s">
        <v>246</v>
      </c>
    </row>
    <row r="89" spans="1:14" x14ac:dyDescent="0.25">
      <c r="A89" t="s">
        <v>101</v>
      </c>
      <c r="B89">
        <v>133890596</v>
      </c>
      <c r="C89" s="1">
        <v>3304122906130000</v>
      </c>
      <c r="D89" s="1" t="str">
        <f>VLOOKUP(Table1[[#This Row],[nisn]],Table3[],3,FALSE)</f>
        <v>C057C955-2DF5-E011-9EAE-D54689DDCBD7</v>
      </c>
      <c r="E89" s="1" t="str">
        <f>VLOOKUP(Table1[[#This Row],[sekolah_id]],Table4[],2,FALSE)</f>
        <v>SD NEGERI 2 JEMBANGAN</v>
      </c>
      <c r="F89" s="1">
        <f>VLOOKUP(Table1[[#This Row],[sekolah_id]],Table4[],3,FALSE)</f>
        <v>20303865</v>
      </c>
      <c r="H89">
        <v>3138580943</v>
      </c>
      <c r="I89" t="s">
        <v>87</v>
      </c>
      <c r="J89" t="s">
        <v>348</v>
      </c>
    </row>
    <row r="90" spans="1:14" x14ac:dyDescent="0.25">
      <c r="A90" t="s">
        <v>72</v>
      </c>
      <c r="B90">
        <v>3130961327</v>
      </c>
      <c r="C90" s="1">
        <v>3304122807130000</v>
      </c>
      <c r="D90" s="1" t="str">
        <f>VLOOKUP(Table1[[#This Row],[nisn]],Table3[],3,FALSE)</f>
        <v>7030C855-2DF5-E011-B9BD-1D424346E96E</v>
      </c>
      <c r="E90" s="1" t="str">
        <f>VLOOKUP(Table1[[#This Row],[sekolah_id]],Table4[],2,FALSE)</f>
        <v>SD NEGERI 2 BONDOLHARJO</v>
      </c>
      <c r="F90" s="1">
        <f>VLOOKUP(Table1[[#This Row],[sekolah_id]],Table4[],3,FALSE)</f>
        <v>20304494</v>
      </c>
      <c r="H90">
        <v>132565759</v>
      </c>
      <c r="I90" t="s">
        <v>88</v>
      </c>
      <c r="J90" t="s">
        <v>248</v>
      </c>
    </row>
    <row r="91" spans="1:14" x14ac:dyDescent="0.25">
      <c r="A91" t="s">
        <v>150</v>
      </c>
      <c r="B91">
        <v>3130505441</v>
      </c>
      <c r="C91" s="1">
        <v>3304122308130000</v>
      </c>
      <c r="D91" s="1" t="str">
        <f>VLOOKUP(Table1[[#This Row],[nisn]],Table3[],3,FALSE)</f>
        <v>7030C855-2DF5-E011-B9BD-1D424346E96E</v>
      </c>
      <c r="E91" s="1" t="str">
        <f>VLOOKUP(Table1[[#This Row],[sekolah_id]],Table4[],2,FALSE)</f>
        <v>SD NEGERI 2 BONDOLHARJO</v>
      </c>
      <c r="F91" s="1">
        <f>VLOOKUP(Table1[[#This Row],[sekolah_id]],Table4[],3,FALSE)</f>
        <v>20304494</v>
      </c>
      <c r="H91">
        <v>144349152</v>
      </c>
      <c r="I91" t="s">
        <v>89</v>
      </c>
      <c r="J91" t="s">
        <v>346</v>
      </c>
    </row>
    <row r="92" spans="1:14" x14ac:dyDescent="0.25">
      <c r="A92" t="s">
        <v>157</v>
      </c>
      <c r="B92">
        <v>141399894</v>
      </c>
      <c r="C92" s="1">
        <v>3304121006140000</v>
      </c>
      <c r="D92" s="1" t="str">
        <f>VLOOKUP(Table1[[#This Row],[nisn]],Table3[],3,FALSE)</f>
        <v>900494C5-C973-44BA-AC05-E77C67690270</v>
      </c>
      <c r="E92" s="1" t="str">
        <f>VLOOKUP(Table1[[#This Row],[sekolah_id]],Table4[],2,FALSE)</f>
        <v>SDIT INSAN MANDIRI PUNGGELAN</v>
      </c>
      <c r="F92" s="1">
        <f>VLOOKUP(Table1[[#This Row],[sekolah_id]],Table4[],3,FALSE)</f>
        <v>70015193</v>
      </c>
      <c r="H92">
        <v>145648195</v>
      </c>
      <c r="I92" t="s">
        <v>90</v>
      </c>
      <c r="J92" t="s">
        <v>224</v>
      </c>
    </row>
    <row r="93" spans="1:14" x14ac:dyDescent="0.25">
      <c r="A93" t="s">
        <v>49</v>
      </c>
      <c r="B93">
        <v>3144399294</v>
      </c>
      <c r="C93" s="1">
        <v>3304035408140000</v>
      </c>
      <c r="D93" s="1" t="str">
        <f>VLOOKUP(Table1[[#This Row],[nisn]],Table3[],3,FALSE)</f>
        <v>D01CB855-2DF5-E011-B2AB-C98ECC834AF5</v>
      </c>
      <c r="E93" s="1" t="str">
        <f>VLOOKUP(Table1[[#This Row],[sekolah_id]],Table4[],2,FALSE)</f>
        <v>SD NEGERI 3 PURWASABA</v>
      </c>
      <c r="F93" s="1">
        <f>VLOOKUP(Table1[[#This Row],[sekolah_id]],Table4[],3,FALSE)</f>
        <v>20338259</v>
      </c>
      <c r="H93">
        <v>168668108</v>
      </c>
      <c r="I93" t="s">
        <v>91</v>
      </c>
      <c r="J93" t="s">
        <v>272</v>
      </c>
    </row>
    <row r="94" spans="1:14" x14ac:dyDescent="0.25">
      <c r="A94" t="s">
        <v>160</v>
      </c>
      <c r="B94">
        <v>3159348253</v>
      </c>
      <c r="C94" s="1">
        <v>3304010405150000</v>
      </c>
      <c r="D94" s="1" t="str">
        <f>VLOOKUP(Table1[[#This Row],[nisn]],Table3[],3,FALSE)</f>
        <v>E02CB455-2DF5-E011-8D32-457C3956D275</v>
      </c>
      <c r="E94" s="1" t="str">
        <f>VLOOKUP(Table1[[#This Row],[sekolah_id]],Table4[],2,FALSE)</f>
        <v>SD NEGERI 3 BERTA</v>
      </c>
      <c r="F94" s="1">
        <f>VLOOKUP(Table1[[#This Row],[sekolah_id]],Table4[],3,FALSE)</f>
        <v>20303723</v>
      </c>
      <c r="H94">
        <v>137467700</v>
      </c>
      <c r="I94" t="s">
        <v>92</v>
      </c>
      <c r="J94" t="s">
        <v>358</v>
      </c>
    </row>
    <row r="95" spans="1:14" x14ac:dyDescent="0.25">
      <c r="A95" t="s">
        <v>133</v>
      </c>
      <c r="B95">
        <v>3147488573</v>
      </c>
      <c r="C95" s="1">
        <v>3304056309140000</v>
      </c>
      <c r="D95" s="1" t="str">
        <f>VLOOKUP(Table1[[#This Row],[nisn]],Table3[],3,FALSE)</f>
        <v>E0BEBF55-2DF5-E011-9FDD-9FFA59AABED4</v>
      </c>
      <c r="E95" s="1" t="str">
        <f>VLOOKUP(Table1[[#This Row],[sekolah_id]],Table4[],2,FALSE)</f>
        <v>SD NEGERI 2 AMPELSARI</v>
      </c>
      <c r="F95" s="1">
        <f>VLOOKUP(Table1[[#This Row],[sekolah_id]],Table4[],3,FALSE)</f>
        <v>20304481</v>
      </c>
      <c r="H95">
        <v>146332303</v>
      </c>
      <c r="I95" t="s">
        <v>93</v>
      </c>
      <c r="J95" t="s">
        <v>248</v>
      </c>
    </row>
    <row r="96" spans="1:14" x14ac:dyDescent="0.25">
      <c r="A96" t="s">
        <v>81</v>
      </c>
      <c r="B96">
        <v>3156323354</v>
      </c>
      <c r="C96" s="1">
        <v>3304172203150000</v>
      </c>
      <c r="D96" s="1" t="str">
        <f>VLOOKUP(Table1[[#This Row],[nisn]],Table3[],3,FALSE)</f>
        <v>C0EDD355-2DF5-E011-9349-674A6FF36591</v>
      </c>
      <c r="E96" s="1" t="str">
        <f>VLOOKUP(Table1[[#This Row],[sekolah_id]],Table4[],2,FALSE)</f>
        <v>SD NEGERI 2 PANDANSARI</v>
      </c>
      <c r="F96" s="1">
        <f>VLOOKUP(Table1[[#This Row],[sekolah_id]],Table4[],3,FALSE)</f>
        <v>20303922</v>
      </c>
      <c r="H96">
        <v>144236807</v>
      </c>
      <c r="I96" t="s">
        <v>94</v>
      </c>
      <c r="J96" t="s">
        <v>308</v>
      </c>
    </row>
    <row r="97" spans="1:10" x14ac:dyDescent="0.25">
      <c r="A97" t="s">
        <v>9</v>
      </c>
      <c r="B97">
        <v>3148879897</v>
      </c>
      <c r="C97" s="1">
        <v>3304170302140000</v>
      </c>
      <c r="D97" s="1" t="str">
        <f>VLOOKUP(Table1[[#This Row],[nisn]],Table3[],3,FALSE)</f>
        <v>F012D355-2DF5-E011-A8E2-05CD367136DB</v>
      </c>
      <c r="E97" s="1" t="str">
        <f>VLOOKUP(Table1[[#This Row],[sekolah_id]],Table4[],2,FALSE)</f>
        <v>SD NEGERI 1 WANAYASA</v>
      </c>
      <c r="F97" s="1">
        <f>VLOOKUP(Table1[[#This Row],[sekolah_id]],Table4[],3,FALSE)</f>
        <v>20304488</v>
      </c>
      <c r="H97">
        <v>155238833</v>
      </c>
      <c r="I97" t="s">
        <v>95</v>
      </c>
      <c r="J97" t="s">
        <v>302</v>
      </c>
    </row>
    <row r="98" spans="1:10" x14ac:dyDescent="0.25">
      <c r="A98" t="s">
        <v>41</v>
      </c>
      <c r="B98">
        <v>3139103064</v>
      </c>
      <c r="C98" s="1">
        <v>3304055109130000</v>
      </c>
      <c r="D98" s="1" t="str">
        <f>VLOOKUP(Table1[[#This Row],[nisn]],Table3[],3,FALSE)</f>
        <v>E017BE55-2DF5-E011-86BF-EFC456463227</v>
      </c>
      <c r="E98" s="1" t="str">
        <f>VLOOKUP(Table1[[#This Row],[sekolah_id]],Table4[],2,FALSE)</f>
        <v>SD NEGERI 4 WANADRI</v>
      </c>
      <c r="F98" s="1">
        <f>VLOOKUP(Table1[[#This Row],[sekolah_id]],Table4[],3,FALSE)</f>
        <v>20304071</v>
      </c>
      <c r="H98">
        <v>3139802692</v>
      </c>
      <c r="I98" t="s">
        <v>96</v>
      </c>
      <c r="J98" t="s">
        <v>252</v>
      </c>
    </row>
    <row r="99" spans="1:10" x14ac:dyDescent="0.25">
      <c r="A99" t="s">
        <v>63</v>
      </c>
      <c r="B99">
        <v>3135461581</v>
      </c>
      <c r="C99" s="1">
        <v>3304071711130000</v>
      </c>
      <c r="D99" s="1" t="str">
        <f>VLOOKUP(Table1[[#This Row],[nisn]],Table3[],3,FALSE)</f>
        <v>2053BD55-2DF5-E011-8BBB-F1DD0A103ED8</v>
      </c>
      <c r="E99" s="1" t="str">
        <f>VLOOKUP(Table1[[#This Row],[sekolah_id]],Table4[],2,FALSE)</f>
        <v>SD NEGERI 2 MAJALENGKA</v>
      </c>
      <c r="F99" s="1">
        <f>VLOOKUP(Table1[[#This Row],[sekolah_id]],Table4[],3,FALSE)</f>
        <v>20340961</v>
      </c>
      <c r="H99">
        <v>151773934</v>
      </c>
      <c r="I99" t="s">
        <v>97</v>
      </c>
      <c r="J99" t="s">
        <v>248</v>
      </c>
    </row>
    <row r="100" spans="1:10" x14ac:dyDescent="0.25">
      <c r="A100" t="s">
        <v>85</v>
      </c>
      <c r="B100">
        <v>3132051443</v>
      </c>
      <c r="C100" s="1">
        <v>3304051805130000</v>
      </c>
      <c r="D100" s="1" t="str">
        <f>VLOOKUP(Table1[[#This Row],[nisn]],Table3[],3,FALSE)</f>
        <v>808ABC55-2DF5-E011-B029-E5AB1391107B</v>
      </c>
      <c r="E100" s="1" t="str">
        <f>VLOOKUP(Table1[[#This Row],[sekolah_id]],Table4[],2,FALSE)</f>
        <v>SD NEGERI 1 WINONG</v>
      </c>
      <c r="F100" s="1">
        <f>VLOOKUP(Table1[[#This Row],[sekolah_id]],Table4[],3,FALSE)</f>
        <v>20304485</v>
      </c>
      <c r="H100">
        <v>3147017664</v>
      </c>
      <c r="I100" t="s">
        <v>98</v>
      </c>
      <c r="J100" t="s">
        <v>366</v>
      </c>
    </row>
    <row r="101" spans="1:10" x14ac:dyDescent="0.25">
      <c r="A101" t="s">
        <v>142</v>
      </c>
      <c r="B101">
        <v>3136875662</v>
      </c>
      <c r="C101" s="1">
        <v>3304053108130000</v>
      </c>
      <c r="D101" s="1" t="str">
        <f>VLOOKUP(Table1[[#This Row],[nisn]],Table3[],3,FALSE)</f>
        <v>E001BE53-2DF5-E011-899A-E3A1240B1E3B</v>
      </c>
      <c r="E101" s="1" t="str">
        <f>VLOOKUP(Table1[[#This Row],[sekolah_id]],Table4[],2,FALSE)</f>
        <v>SD NEGERI 3 KEBONDALEM</v>
      </c>
      <c r="F101" s="1">
        <f>VLOOKUP(Table1[[#This Row],[sekolah_id]],Table4[],3,FALSE)</f>
        <v>20303805</v>
      </c>
      <c r="H101">
        <v>146689382</v>
      </c>
      <c r="I101" t="s">
        <v>99</v>
      </c>
      <c r="J101" t="s">
        <v>206</v>
      </c>
    </row>
    <row r="102" spans="1:10" x14ac:dyDescent="0.25">
      <c r="A102" t="s">
        <v>113</v>
      </c>
      <c r="B102">
        <v>152085809</v>
      </c>
      <c r="C102" s="1">
        <v>3304171810150000</v>
      </c>
      <c r="D102" s="1" t="str">
        <f>VLOOKUP(Table1[[#This Row],[nisn]],Table3[],3,FALSE)</f>
        <v>C0EDD355-2DF5-E011-9349-674A6FF36591</v>
      </c>
      <c r="E102" s="1" t="str">
        <f>VLOOKUP(Table1[[#This Row],[sekolah_id]],Table4[],2,FALSE)</f>
        <v>SD NEGERI 2 PANDANSARI</v>
      </c>
      <c r="F102" s="1">
        <f>VLOOKUP(Table1[[#This Row],[sekolah_id]],Table4[],3,FALSE)</f>
        <v>20303922</v>
      </c>
      <c r="H102">
        <v>143657264</v>
      </c>
      <c r="I102" t="s">
        <v>100</v>
      </c>
      <c r="J102" t="s">
        <v>248</v>
      </c>
    </row>
    <row r="103" spans="1:10" x14ac:dyDescent="0.25">
      <c r="A103" t="s">
        <v>120</v>
      </c>
      <c r="B103">
        <v>3159649218</v>
      </c>
      <c r="C103" s="1">
        <v>3304160710150000</v>
      </c>
      <c r="D103" s="1" t="str">
        <f>VLOOKUP(Table1[[#This Row],[nisn]],Table3[],3,FALSE)</f>
        <v>10C3D055-2DF5-E011-A7BD-D30F65DA4A70</v>
      </c>
      <c r="E103" s="1" t="str">
        <f>VLOOKUP(Table1[[#This Row],[sekolah_id]],Table4[],2,FALSE)</f>
        <v>SD NEGERI 1 GROGOL</v>
      </c>
      <c r="F103" s="1">
        <f>VLOOKUP(Table1[[#This Row],[sekolah_id]],Table4[],3,FALSE)</f>
        <v>20304552</v>
      </c>
      <c r="H103">
        <v>133890596</v>
      </c>
      <c r="I103" t="s">
        <v>101</v>
      </c>
      <c r="J103" t="s">
        <v>256</v>
      </c>
    </row>
    <row r="104" spans="1:10" x14ac:dyDescent="0.25">
      <c r="A104" t="s">
        <v>77</v>
      </c>
      <c r="B104">
        <v>3144701478</v>
      </c>
      <c r="C104" s="1">
        <v>3304161201140000</v>
      </c>
      <c r="D104" s="1" t="str">
        <f>VLOOKUP(Table1[[#This Row],[nisn]],Table3[],3,FALSE)</f>
        <v>10C3D055-2DF5-E011-A7BD-D30F65DA4A70</v>
      </c>
      <c r="E104" s="1" t="str">
        <f>VLOOKUP(Table1[[#This Row],[sekolah_id]],Table4[],2,FALSE)</f>
        <v>SD NEGERI 1 GROGOL</v>
      </c>
      <c r="F104" s="1">
        <f>VLOOKUP(Table1[[#This Row],[sekolah_id]],Table4[],3,FALSE)</f>
        <v>20304552</v>
      </c>
      <c r="H104">
        <v>141515467</v>
      </c>
      <c r="I104" t="s">
        <v>102</v>
      </c>
      <c r="J104" t="s">
        <v>364</v>
      </c>
    </row>
    <row r="105" spans="1:10" x14ac:dyDescent="0.25">
      <c r="A105" t="s">
        <v>171</v>
      </c>
      <c r="B105">
        <v>3135222675</v>
      </c>
      <c r="C105" s="1">
        <v>3304181703130000</v>
      </c>
      <c r="D105" s="1" t="str">
        <f>VLOOKUP(Table1[[#This Row],[nisn]],Table3[],3,FALSE)</f>
        <v>6086D555-2DF5-E011-95CB-D33E6E27C5CE</v>
      </c>
      <c r="E105" s="1" t="str">
        <f>VLOOKUP(Table1[[#This Row],[sekolah_id]],Table4[],2,FALSE)</f>
        <v>SD NEGERI 1 KALIBOMBONG</v>
      </c>
      <c r="F105" s="1">
        <f>VLOOKUP(Table1[[#This Row],[sekolah_id]],Table4[],3,FALSE)</f>
        <v>20304635</v>
      </c>
      <c r="H105">
        <v>3182377267</v>
      </c>
      <c r="I105" t="s">
        <v>103</v>
      </c>
      <c r="J105" t="s">
        <v>308</v>
      </c>
    </row>
    <row r="106" spans="1:10" x14ac:dyDescent="0.25">
      <c r="A106" t="s">
        <v>43</v>
      </c>
      <c r="B106">
        <v>158682989</v>
      </c>
      <c r="C106" s="1">
        <v>3304051007130000</v>
      </c>
      <c r="D106" s="1" t="str">
        <f>VLOOKUP(Table1[[#This Row],[nisn]],Table3[],3,FALSE)</f>
        <v>30D1BB55-2DF5-E011-8E50-E9801445C64D</v>
      </c>
      <c r="E106" s="1" t="str">
        <f>VLOOKUP(Table1[[#This Row],[sekolah_id]],Table4[],2,FALSE)</f>
        <v>SD NEGERI 1 BANDINGAN</v>
      </c>
      <c r="F106" s="1">
        <f>VLOOKUP(Table1[[#This Row],[sekolah_id]],Table4[],3,FALSE)</f>
        <v>20304142</v>
      </c>
      <c r="H106">
        <v>3152966073</v>
      </c>
      <c r="I106" t="s">
        <v>104</v>
      </c>
      <c r="J106" t="s">
        <v>306</v>
      </c>
    </row>
    <row r="107" spans="1:10" x14ac:dyDescent="0.25">
      <c r="A107" t="s">
        <v>75</v>
      </c>
      <c r="B107">
        <v>137895265</v>
      </c>
      <c r="C107" s="1">
        <v>3304055110130000</v>
      </c>
      <c r="D107" s="1" t="str">
        <f>VLOOKUP(Table1[[#This Row],[nisn]],Table3[],3,FALSE)</f>
        <v>E017BE55-2DF5-E011-86BF-EFC456463227</v>
      </c>
      <c r="E107" s="1" t="str">
        <f>VLOOKUP(Table1[[#This Row],[sekolah_id]],Table4[],2,FALSE)</f>
        <v>SD NEGERI 4 WANADRI</v>
      </c>
      <c r="F107" s="1">
        <f>VLOOKUP(Table1[[#This Row],[sekolah_id]],Table4[],3,FALSE)</f>
        <v>20304071</v>
      </c>
      <c r="H107">
        <v>3153070162</v>
      </c>
      <c r="I107" t="s">
        <v>105</v>
      </c>
      <c r="J107" t="s">
        <v>320</v>
      </c>
    </row>
    <row r="108" spans="1:10" x14ac:dyDescent="0.25">
      <c r="A108" t="s">
        <v>111</v>
      </c>
      <c r="B108">
        <v>3130127840</v>
      </c>
      <c r="C108" s="1">
        <v>3304122905130000</v>
      </c>
      <c r="D108" s="1" t="str">
        <f>VLOOKUP(Table1[[#This Row],[nisn]],Table3[],3,FALSE)</f>
        <v>99560772-82FC-4D2C-9375-4D1994CE3FCF</v>
      </c>
      <c r="E108" s="1" t="str">
        <f>VLOOKUP(Table1[[#This Row],[sekolah_id]],Table4[],2,FALSE)</f>
        <v>MIS COKROAMINOTO TANJUNGTIRTA</v>
      </c>
      <c r="F108" s="1">
        <f>VLOOKUP(Table1[[#This Row],[sekolah_id]],Table4[],3,FALSE)</f>
        <v>60710795</v>
      </c>
      <c r="H108">
        <v>137198446</v>
      </c>
      <c r="I108" t="s">
        <v>106</v>
      </c>
      <c r="J108" t="s">
        <v>214</v>
      </c>
    </row>
    <row r="109" spans="1:10" x14ac:dyDescent="0.25">
      <c r="A109" t="s">
        <v>55</v>
      </c>
      <c r="B109">
        <v>132770723</v>
      </c>
      <c r="C109" s="1">
        <v>3304114806130000</v>
      </c>
      <c r="D109" s="1" t="str">
        <f>VLOOKUP(Table1[[#This Row],[nisn]],Table3[],3,FALSE)</f>
        <v>A0CAC655-2DF5-E011-BCCC-63266DADE5FF</v>
      </c>
      <c r="E109" s="1" t="str">
        <f>VLOOKUP(Table1[[#This Row],[sekolah_id]],Table4[],2,FALSE)</f>
        <v>SD NEGERI 1 LUWUNG</v>
      </c>
      <c r="F109" s="1">
        <f>VLOOKUP(Table1[[#This Row],[sekolah_id]],Table4[],3,FALSE)</f>
        <v>20304625</v>
      </c>
      <c r="H109">
        <v>3162462274</v>
      </c>
      <c r="I109" t="s">
        <v>107</v>
      </c>
      <c r="J109" t="s">
        <v>206</v>
      </c>
    </row>
    <row r="110" spans="1:10" x14ac:dyDescent="0.25">
      <c r="A110" t="s">
        <v>131</v>
      </c>
      <c r="B110">
        <v>146515219</v>
      </c>
      <c r="C110" s="1">
        <v>3304170301140000</v>
      </c>
      <c r="D110" s="1" t="str">
        <f>VLOOKUP(Table1[[#This Row],[nisn]],Table3[],3,FALSE)</f>
        <v>7A2322A5-3851-4CC6-83E7-0BF15D6E03FE</v>
      </c>
      <c r="E110" s="1" t="str">
        <f>VLOOKUP(Table1[[#This Row],[sekolah_id]],Table4[],2,FALSE)</f>
        <v>MIS MUHAMMADIYAH WANAYASA</v>
      </c>
      <c r="F110" s="1">
        <f>VLOOKUP(Table1[[#This Row],[sekolah_id]],Table4[],3,FALSE)</f>
        <v>60710866</v>
      </c>
      <c r="H110">
        <v>3134110812</v>
      </c>
      <c r="I110" t="s">
        <v>108</v>
      </c>
      <c r="J110" t="s">
        <v>254</v>
      </c>
    </row>
    <row r="111" spans="1:10" x14ac:dyDescent="0.25">
      <c r="A111" t="s">
        <v>192</v>
      </c>
      <c r="B111">
        <v>142047637</v>
      </c>
      <c r="C111" s="1">
        <v>3304065410140000</v>
      </c>
      <c r="D111" s="1" t="str">
        <f>VLOOKUP(Table1[[#This Row],[nisn]],Table3[],3,FALSE)</f>
        <v>A05ABE55-2DF5-E011-BB43-D3651BFD9DA1</v>
      </c>
      <c r="E111" s="1" t="str">
        <f>VLOOKUP(Table1[[#This Row],[sekolah_id]],Table4[],2,FALSE)</f>
        <v>SD NEGERI 4 KRANDEGAN</v>
      </c>
      <c r="F111" s="1">
        <f>VLOOKUP(Table1[[#This Row],[sekolah_id]],Table4[],3,FALSE)</f>
        <v>20304067</v>
      </c>
      <c r="H111">
        <v>3159826802</v>
      </c>
      <c r="I111" t="s">
        <v>109</v>
      </c>
      <c r="J111" t="s">
        <v>328</v>
      </c>
    </row>
    <row r="112" spans="1:10" x14ac:dyDescent="0.25">
      <c r="A112" t="s">
        <v>86</v>
      </c>
      <c r="B112">
        <v>3143621302</v>
      </c>
      <c r="C112" s="1">
        <v>3304116904140000</v>
      </c>
      <c r="D112" s="1" t="str">
        <f>VLOOKUP(Table1[[#This Row],[nisn]],Table3[],3,FALSE)</f>
        <v>53174049-FDC6-4CB9-BA43-3A7991B37CDB</v>
      </c>
      <c r="E112" s="1" t="str">
        <f>VLOOKUP(Table1[[#This Row],[sekolah_id]],Table4[],2,FALSE)</f>
        <v>MIS COKROAMINOTO 01 BADAMITA</v>
      </c>
      <c r="F112" s="1">
        <f>VLOOKUP(Table1[[#This Row],[sekolah_id]],Table4[],3,FALSE)</f>
        <v>60710836</v>
      </c>
      <c r="H112">
        <v>3144800244</v>
      </c>
      <c r="I112" t="s">
        <v>110</v>
      </c>
      <c r="J112" t="s">
        <v>216</v>
      </c>
    </row>
    <row r="113" spans="1:10" x14ac:dyDescent="0.25">
      <c r="A113" t="s">
        <v>122</v>
      </c>
      <c r="B113">
        <v>3159064974</v>
      </c>
      <c r="C113" s="1">
        <v>3304172204150000</v>
      </c>
      <c r="D113" s="1" t="str">
        <f>VLOOKUP(Table1[[#This Row],[nisn]],Table3[],3,FALSE)</f>
        <v>C0EDD355-2DF5-E011-9349-674A6FF36591</v>
      </c>
      <c r="E113" s="1" t="str">
        <f>VLOOKUP(Table1[[#This Row],[sekolah_id]],Table4[],2,FALSE)</f>
        <v>SD NEGERI 2 PANDANSARI</v>
      </c>
      <c r="F113" s="1">
        <f>VLOOKUP(Table1[[#This Row],[sekolah_id]],Table4[],3,FALSE)</f>
        <v>20303922</v>
      </c>
      <c r="H113">
        <v>3130127840</v>
      </c>
      <c r="I113" t="s">
        <v>111</v>
      </c>
      <c r="J113" t="s">
        <v>350</v>
      </c>
    </row>
    <row r="114" spans="1:10" x14ac:dyDescent="0.25">
      <c r="A114" t="s">
        <v>169</v>
      </c>
      <c r="B114">
        <v>157908193</v>
      </c>
      <c r="C114" s="1">
        <v>3304112709150000</v>
      </c>
      <c r="D114" s="1" t="str">
        <f>VLOOKUP(Table1[[#This Row],[nisn]],Table3[],3,FALSE)</f>
        <v>A6F99D00-F0E9-49F4-8A8B-1600D3C8564F</v>
      </c>
      <c r="E114" s="1" t="str">
        <f>VLOOKUP(Table1[[#This Row],[sekolah_id]],Table4[],2,FALSE)</f>
        <v>MIS NU KINCANG</v>
      </c>
      <c r="F114" s="1">
        <f>VLOOKUP(Table1[[#This Row],[sekolah_id]],Table4[],3,FALSE)</f>
        <v>60710835</v>
      </c>
      <c r="H114">
        <v>3140290060</v>
      </c>
      <c r="I114" t="s">
        <v>112</v>
      </c>
      <c r="J114" t="s">
        <v>206</v>
      </c>
    </row>
    <row r="115" spans="1:10" x14ac:dyDescent="0.25">
      <c r="A115" t="s">
        <v>187</v>
      </c>
      <c r="B115">
        <v>142463083</v>
      </c>
      <c r="C115" s="1">
        <v>3304150710140000</v>
      </c>
      <c r="D115" s="1" t="str">
        <f>VLOOKUP(Table1[[#This Row],[nisn]],Table3[],3,FALSE)</f>
        <v>E0D7D155-2DF5-E011-B589-B114CA7496AF</v>
      </c>
      <c r="E115" s="1" t="str">
        <f>VLOOKUP(Table1[[#This Row],[sekolah_id]],Table4[],2,FALSE)</f>
        <v>SD NEGERI 2 CONDONGCAMPUR</v>
      </c>
      <c r="F115" s="1">
        <f>VLOOKUP(Table1[[#This Row],[sekolah_id]],Table4[],3,FALSE)</f>
        <v>20303857</v>
      </c>
      <c r="H115">
        <v>152085809</v>
      </c>
      <c r="I115" t="s">
        <v>113</v>
      </c>
      <c r="J115" t="s">
        <v>346</v>
      </c>
    </row>
    <row r="116" spans="1:10" x14ac:dyDescent="0.25">
      <c r="A116" t="s">
        <v>6</v>
      </c>
      <c r="B116">
        <v>138663557</v>
      </c>
      <c r="C116" s="1">
        <v>3304036610130000</v>
      </c>
      <c r="D116" s="1" t="str">
        <f>VLOOKUP(Table1[[#This Row],[nisn]],Table3[],3,FALSE)</f>
        <v>20B6B855-2DF5-E011-BCB4-AD898448D03A</v>
      </c>
      <c r="E116" s="1" t="str">
        <f>VLOOKUP(Table1[[#This Row],[sekolah_id]],Table4[],2,FALSE)</f>
        <v>SD NEGERI 3 KEBANARAN</v>
      </c>
      <c r="F116" s="1">
        <f>VLOOKUP(Table1[[#This Row],[sekolah_id]],Table4[],3,FALSE)</f>
        <v>20338255</v>
      </c>
      <c r="H116">
        <v>141442394</v>
      </c>
      <c r="I116" t="s">
        <v>114</v>
      </c>
      <c r="J116" t="s">
        <v>248</v>
      </c>
    </row>
    <row r="117" spans="1:10" x14ac:dyDescent="0.25">
      <c r="A117" t="s">
        <v>6</v>
      </c>
      <c r="B117">
        <v>138663557</v>
      </c>
      <c r="C117" s="1">
        <v>3304036610130000</v>
      </c>
      <c r="D117" s="1" t="str">
        <f>VLOOKUP(Table1[[#This Row],[nisn]],Table3[],3,FALSE)</f>
        <v>20B6B855-2DF5-E011-BCB4-AD898448D03A</v>
      </c>
      <c r="E117" s="1" t="str">
        <f>VLOOKUP(Table1[[#This Row],[sekolah_id]],Table4[],2,FALSE)</f>
        <v>SD NEGERI 3 KEBANARAN</v>
      </c>
      <c r="F117" s="1">
        <f>VLOOKUP(Table1[[#This Row],[sekolah_id]],Table4[],3,FALSE)</f>
        <v>20338255</v>
      </c>
      <c r="H117">
        <v>3145537778</v>
      </c>
      <c r="I117" t="s">
        <v>115</v>
      </c>
      <c r="J117" t="s">
        <v>332</v>
      </c>
    </row>
    <row r="118" spans="1:10" x14ac:dyDescent="0.25">
      <c r="A118" t="s">
        <v>27</v>
      </c>
      <c r="B118">
        <v>3136742420</v>
      </c>
      <c r="C118" s="1">
        <v>3304184812130000</v>
      </c>
      <c r="D118" s="1" t="str">
        <f>VLOOKUP(Table1[[#This Row],[nisn]],Table3[],3,FALSE)</f>
        <v>E04BCB55-2DF5-E011-83F2-71D497E27128</v>
      </c>
      <c r="E118" s="1" t="str">
        <f>VLOOKUP(Table1[[#This Row],[sekolah_id]],Table4[],2,FALSE)</f>
        <v>SDN 2 Karanggondang</v>
      </c>
      <c r="F118" s="1">
        <f>VLOOKUP(Table1[[#This Row],[sekolah_id]],Table4[],3,FALSE)</f>
        <v>20303819</v>
      </c>
      <c r="H118">
        <v>3155366142</v>
      </c>
      <c r="I118" t="s">
        <v>116</v>
      </c>
      <c r="J118" t="s">
        <v>330</v>
      </c>
    </row>
    <row r="119" spans="1:10" x14ac:dyDescent="0.25">
      <c r="A119" t="s">
        <v>32</v>
      </c>
      <c r="B119">
        <v>157886638</v>
      </c>
      <c r="C119" s="1">
        <v>3304110109150000</v>
      </c>
      <c r="D119" s="1" t="str">
        <f>VLOOKUP(Table1[[#This Row],[nisn]],Table3[],3,FALSE)</f>
        <v>E130A591-001E-4496-915F-4564650C61B9</v>
      </c>
      <c r="E119" s="1" t="str">
        <f>VLOOKUP(Table1[[#This Row],[sekolah_id]],Table4[],2,FALSE)</f>
        <v>MADRASAH IBTIDAIYAH COKROAMINOTO LENGKONG</v>
      </c>
      <c r="F119" s="1">
        <f>VLOOKUP(Table1[[#This Row],[sekolah_id]],Table4[],3,FALSE)</f>
        <v>60710838</v>
      </c>
      <c r="H119">
        <v>136320441</v>
      </c>
      <c r="I119" t="s">
        <v>117</v>
      </c>
      <c r="J119" t="s">
        <v>308</v>
      </c>
    </row>
    <row r="120" spans="1:10" x14ac:dyDescent="0.25">
      <c r="A120" t="s">
        <v>182</v>
      </c>
      <c r="B120">
        <v>3150229322</v>
      </c>
      <c r="C120" s="1">
        <v>3304163003150000</v>
      </c>
      <c r="D120" s="1" t="str">
        <f>VLOOKUP(Table1[[#This Row],[nisn]],Table3[],3,FALSE)</f>
        <v>2019D255-2DF5-E011-BF6E-932DB9907214</v>
      </c>
      <c r="E120" s="1" t="str">
        <f>VLOOKUP(Table1[[#This Row],[sekolah_id]],Table4[],2,FALSE)</f>
        <v>SD NEGERI 5 BATUR</v>
      </c>
      <c r="F120" s="1">
        <f>VLOOKUP(Table1[[#This Row],[sekolah_id]],Table4[],3,FALSE)</f>
        <v>20304171</v>
      </c>
      <c r="H120">
        <v>146396636</v>
      </c>
      <c r="I120" t="s">
        <v>118</v>
      </c>
      <c r="J120" t="s">
        <v>332</v>
      </c>
    </row>
    <row r="121" spans="1:10" x14ac:dyDescent="0.25">
      <c r="A121" t="s">
        <v>129</v>
      </c>
      <c r="B121">
        <v>3164021483</v>
      </c>
      <c r="C121" s="1">
        <v>3304095606160000</v>
      </c>
      <c r="D121" s="1" t="str">
        <f>VLOOKUP(Table1[[#This Row],[nisn]],Table3[],3,FALSE)</f>
        <v>90A0C355-2DF5-E011-8702-BDAAC1C63FB6</v>
      </c>
      <c r="E121" s="1" t="str">
        <f>VLOOKUP(Table1[[#This Row],[sekolah_id]],Table4[],2,FALSE)</f>
        <v>SD NEGERI 1 PRENDENGAN</v>
      </c>
      <c r="F121" s="1">
        <f>VLOOKUP(Table1[[#This Row],[sekolah_id]],Table4[],3,FALSE)</f>
        <v>20304419</v>
      </c>
      <c r="H121">
        <v>148304860</v>
      </c>
      <c r="I121" t="s">
        <v>119</v>
      </c>
      <c r="J121" t="s">
        <v>326</v>
      </c>
    </row>
    <row r="122" spans="1:10" x14ac:dyDescent="0.25">
      <c r="A122" t="s">
        <v>107</v>
      </c>
      <c r="B122">
        <v>3162462274</v>
      </c>
      <c r="C122" s="1">
        <v>3304096209160000</v>
      </c>
      <c r="D122" s="1" t="str">
        <f>VLOOKUP(Table1[[#This Row],[nisn]],Table3[],3,FALSE)</f>
        <v>90A0C355-2DF5-E011-8702-BDAAC1C63FB6</v>
      </c>
      <c r="E122" s="1" t="str">
        <f>VLOOKUP(Table1[[#This Row],[sekolah_id]],Table4[],2,FALSE)</f>
        <v>SD NEGERI 1 PRENDENGAN</v>
      </c>
      <c r="F122" s="1">
        <f>VLOOKUP(Table1[[#This Row],[sekolah_id]],Table4[],3,FALSE)</f>
        <v>20304419</v>
      </c>
      <c r="H122">
        <v>3159649218</v>
      </c>
      <c r="I122" t="s">
        <v>120</v>
      </c>
      <c r="J122" t="s">
        <v>310</v>
      </c>
    </row>
    <row r="123" spans="1:10" x14ac:dyDescent="0.25">
      <c r="A123" t="s">
        <v>30</v>
      </c>
      <c r="B123">
        <v>145500516</v>
      </c>
      <c r="C123" s="1">
        <v>3304061405140000</v>
      </c>
      <c r="D123" s="1" t="str">
        <f>VLOOKUP(Table1[[#This Row],[nisn]],Table3[],3,FALSE)</f>
        <v>500EC355-2DF5-E011-A835-5FD04A2AEA22</v>
      </c>
      <c r="E123" s="1" t="str">
        <f>VLOOKUP(Table1[[#This Row],[sekolah_id]],Table4[],2,FALSE)</f>
        <v>SD NEGERI 1 CENDANA</v>
      </c>
      <c r="F123" s="1">
        <f>VLOOKUP(Table1[[#This Row],[sekolah_id]],Table4[],3,FALSE)</f>
        <v>20304576</v>
      </c>
      <c r="H123">
        <v>133012476</v>
      </c>
      <c r="I123" t="s">
        <v>121</v>
      </c>
      <c r="J123" t="s">
        <v>212</v>
      </c>
    </row>
    <row r="124" spans="1:10" x14ac:dyDescent="0.25">
      <c r="A124" t="s">
        <v>143</v>
      </c>
      <c r="B124">
        <v>3138349582</v>
      </c>
      <c r="C124" s="1">
        <v>3304034405130000</v>
      </c>
      <c r="D124" s="1" t="str">
        <f>VLOOKUP(Table1[[#This Row],[nisn]],Table3[],3,FALSE)</f>
        <v>A044B855-2DF5-E011-AF5A-BFAF5382C433</v>
      </c>
      <c r="E124" s="1" t="str">
        <f>VLOOKUP(Table1[[#This Row],[sekolah_id]],Table4[],2,FALSE)</f>
        <v>SD NEGERI 3 MANDIRAJA WETAN</v>
      </c>
      <c r="F124" s="1">
        <f>VLOOKUP(Table1[[#This Row],[sekolah_id]],Table4[],3,FALSE)</f>
        <v>20340835</v>
      </c>
      <c r="H124">
        <v>3159064974</v>
      </c>
      <c r="I124" t="s">
        <v>122</v>
      </c>
      <c r="J124" t="s">
        <v>346</v>
      </c>
    </row>
    <row r="125" spans="1:10" x14ac:dyDescent="0.25">
      <c r="A125" t="s">
        <v>106</v>
      </c>
      <c r="B125">
        <v>137198446</v>
      </c>
      <c r="C125" s="1">
        <v>3304021310130000</v>
      </c>
      <c r="D125" s="1" t="str">
        <f>VLOOKUP(Table1[[#This Row],[nisn]],Table3[],3,FALSE)</f>
        <v>40B3B655-2DF5-E011-831A-8F2017F8F3CA</v>
      </c>
      <c r="E125" s="1" t="str">
        <f>VLOOKUP(Table1[[#This Row],[sekolah_id]],Table4[],2,FALSE)</f>
        <v>SD NEGERI 3 PAGAK</v>
      </c>
      <c r="F125" s="1">
        <f>VLOOKUP(Table1[[#This Row],[sekolah_id]],Table4[],3,FALSE)</f>
        <v>20303759</v>
      </c>
      <c r="H125">
        <v>152117786</v>
      </c>
      <c r="I125" t="s">
        <v>123</v>
      </c>
      <c r="J125" t="s">
        <v>282</v>
      </c>
    </row>
    <row r="126" spans="1:10" x14ac:dyDescent="0.25">
      <c r="A126" t="s">
        <v>162</v>
      </c>
      <c r="B126">
        <v>134864997</v>
      </c>
      <c r="C126" s="1">
        <v>3304181710130000</v>
      </c>
      <c r="D126" s="1" t="str">
        <f>VLOOKUP(Table1[[#This Row],[nisn]],Table3[],3,FALSE)</f>
        <v>6086D555-2DF5-E011-95CB-D33E6E27C5CE</v>
      </c>
      <c r="E126" s="1" t="str">
        <f>VLOOKUP(Table1[[#This Row],[sekolah_id]],Table4[],2,FALSE)</f>
        <v>SD NEGERI 1 KALIBOMBONG</v>
      </c>
      <c r="F126" s="1">
        <f>VLOOKUP(Table1[[#This Row],[sekolah_id]],Table4[],3,FALSE)</f>
        <v>20304635</v>
      </c>
      <c r="H126">
        <v>143230813</v>
      </c>
      <c r="I126" t="s">
        <v>124</v>
      </c>
      <c r="J126" t="s">
        <v>360</v>
      </c>
    </row>
    <row r="127" spans="1:10" x14ac:dyDescent="0.25">
      <c r="A127" t="s">
        <v>168</v>
      </c>
      <c r="B127">
        <v>137974804</v>
      </c>
      <c r="C127" s="1">
        <v>3304120906130000</v>
      </c>
      <c r="D127" s="1" t="str">
        <f>VLOOKUP(Table1[[#This Row],[nisn]],Table3[],3,FALSE)</f>
        <v>6764841C-0C31-40FC-8C55-BE67B2304D09</v>
      </c>
      <c r="E127" s="1" t="str">
        <f>VLOOKUP(Table1[[#This Row],[sekolah_id]],Table4[],2,FALSE)</f>
        <v>MIS MAARIF KLAPA</v>
      </c>
      <c r="F127" s="1">
        <f>VLOOKUP(Table1[[#This Row],[sekolah_id]],Table4[],3,FALSE)</f>
        <v>60710801</v>
      </c>
      <c r="H127">
        <v>132122840</v>
      </c>
      <c r="I127" t="s">
        <v>125</v>
      </c>
      <c r="J127" t="s">
        <v>308</v>
      </c>
    </row>
    <row r="128" spans="1:10" x14ac:dyDescent="0.25">
      <c r="A128" t="s">
        <v>126</v>
      </c>
      <c r="B128">
        <v>137464215</v>
      </c>
      <c r="C128" s="1">
        <v>3304173010130000</v>
      </c>
      <c r="D128" s="1" t="str">
        <f>VLOOKUP(Table1[[#This Row],[nisn]],Table3[],3,FALSE)</f>
        <v>90B4D355-2DF5-E011-9171-DB4E484A8875</v>
      </c>
      <c r="E128" s="1" t="str">
        <f>VLOOKUP(Table1[[#This Row],[sekolah_id]],Table4[],2,FALSE)</f>
        <v>SD NEGERI 1 TEMPURAN</v>
      </c>
      <c r="F128" s="1">
        <f>VLOOKUP(Table1[[#This Row],[sekolah_id]],Table4[],3,FALSE)</f>
        <v>20304529</v>
      </c>
      <c r="H128">
        <v>137464215</v>
      </c>
      <c r="I128" t="s">
        <v>126</v>
      </c>
      <c r="J128" t="s">
        <v>248</v>
      </c>
    </row>
    <row r="129" spans="1:10" x14ac:dyDescent="0.25">
      <c r="A129" t="s">
        <v>51</v>
      </c>
      <c r="B129">
        <v>144181923</v>
      </c>
      <c r="C129" s="1">
        <v>3304170609140000</v>
      </c>
      <c r="D129" s="1" t="str">
        <f>VLOOKUP(Table1[[#This Row],[nisn]],Table3[],3,FALSE)</f>
        <v>90B4D355-2DF5-E011-9171-DB4E484A8875</v>
      </c>
      <c r="E129" s="1" t="str">
        <f>VLOOKUP(Table1[[#This Row],[sekolah_id]],Table4[],2,FALSE)</f>
        <v>SD NEGERI 1 TEMPURAN</v>
      </c>
      <c r="F129" s="1">
        <f>VLOOKUP(Table1[[#This Row],[sekolah_id]],Table4[],3,FALSE)</f>
        <v>20304529</v>
      </c>
      <c r="H129">
        <v>3159569711</v>
      </c>
      <c r="I129" t="s">
        <v>127</v>
      </c>
      <c r="J129" t="s">
        <v>346</v>
      </c>
    </row>
    <row r="130" spans="1:10" x14ac:dyDescent="0.25">
      <c r="A130" t="s">
        <v>110</v>
      </c>
      <c r="B130">
        <v>3144800244</v>
      </c>
      <c r="C130" s="1">
        <v>3304162806140000</v>
      </c>
      <c r="D130" s="1" t="str">
        <f>VLOOKUP(Table1[[#This Row],[nisn]],Table3[],3,FALSE)</f>
        <v>7026D255-2DF5-E011-80A6-EF30C3202104</v>
      </c>
      <c r="E130" s="1" t="str">
        <f>VLOOKUP(Table1[[#This Row],[sekolah_id]],Table4[],2,FALSE)</f>
        <v>SD NEGERI 1 SUMBEREJO</v>
      </c>
      <c r="F130" s="1">
        <f>VLOOKUP(Table1[[#This Row],[sekolah_id]],Table4[],3,FALSE)</f>
        <v>20304521</v>
      </c>
      <c r="H130">
        <v>3131757645</v>
      </c>
      <c r="I130" t="s">
        <v>128</v>
      </c>
      <c r="J130" t="s">
        <v>334</v>
      </c>
    </row>
    <row r="131" spans="1:10" x14ac:dyDescent="0.25">
      <c r="A131" t="s">
        <v>69</v>
      </c>
      <c r="B131">
        <v>3137021409</v>
      </c>
      <c r="C131" s="1">
        <v>1509072201130000</v>
      </c>
      <c r="D131" s="1" t="str">
        <f>VLOOKUP(Table1[[#This Row],[nisn]],Table3[],3,FALSE)</f>
        <v>7026D255-2DF5-E011-80A6-EF30C3202104</v>
      </c>
      <c r="E131" s="1" t="str">
        <f>VLOOKUP(Table1[[#This Row],[sekolah_id]],Table4[],2,FALSE)</f>
        <v>SD NEGERI 1 SUMBEREJO</v>
      </c>
      <c r="F131" s="1">
        <f>VLOOKUP(Table1[[#This Row],[sekolah_id]],Table4[],3,FALSE)</f>
        <v>20304521</v>
      </c>
      <c r="H131">
        <v>3164021483</v>
      </c>
      <c r="I131" t="s">
        <v>129</v>
      </c>
      <c r="J131" t="s">
        <v>206</v>
      </c>
    </row>
    <row r="132" spans="1:10" x14ac:dyDescent="0.25">
      <c r="A132" t="s">
        <v>56</v>
      </c>
      <c r="B132">
        <v>147214618</v>
      </c>
      <c r="C132" s="1">
        <v>3304111009140000</v>
      </c>
      <c r="D132" s="1" t="str">
        <f>VLOOKUP(Table1[[#This Row],[nisn]],Table3[],3,FALSE)</f>
        <v>A6F99D00-F0E9-49F4-8A8B-1600D3C8564F</v>
      </c>
      <c r="E132" s="1" t="str">
        <f>VLOOKUP(Table1[[#This Row],[sekolah_id]],Table4[],2,FALSE)</f>
        <v>MIS NU KINCANG</v>
      </c>
      <c r="F132" s="1">
        <f>VLOOKUP(Table1[[#This Row],[sekolah_id]],Table4[],3,FALSE)</f>
        <v>60710835</v>
      </c>
      <c r="H132">
        <v>3146409141</v>
      </c>
      <c r="I132" t="s">
        <v>130</v>
      </c>
      <c r="J132" t="s">
        <v>306</v>
      </c>
    </row>
    <row r="133" spans="1:10" x14ac:dyDescent="0.25">
      <c r="A133" t="s">
        <v>45</v>
      </c>
      <c r="B133">
        <v>3153805502</v>
      </c>
      <c r="C133" s="1">
        <v>3304120601150000</v>
      </c>
      <c r="D133" s="1" t="str">
        <f>VLOOKUP(Table1[[#This Row],[nisn]],Table3[],3,FALSE)</f>
        <v>0016C955-2DF5-E011-A24B-1DAA493F5183</v>
      </c>
      <c r="E133" s="1" t="str">
        <f>VLOOKUP(Table1[[#This Row],[sekolah_id]],Table4[],2,FALSE)</f>
        <v>SD NEGERI 1 SAWANGAN</v>
      </c>
      <c r="F133" s="1">
        <f>VLOOKUP(Table1[[#This Row],[sekolah_id]],Table4[],3,FALSE)</f>
        <v>20304432</v>
      </c>
      <c r="H133">
        <v>3139152062</v>
      </c>
      <c r="I133" t="s">
        <v>52</v>
      </c>
      <c r="J133" t="s">
        <v>222</v>
      </c>
    </row>
    <row r="134" spans="1:10" x14ac:dyDescent="0.25">
      <c r="A134" t="s">
        <v>21</v>
      </c>
      <c r="B134">
        <v>3138223104</v>
      </c>
      <c r="C134" s="1">
        <v>3304062702130000</v>
      </c>
      <c r="D134" s="1" t="str">
        <f>VLOOKUP(Table1[[#This Row],[nisn]],Table3[],3,FALSE)</f>
        <v>500EC355-2DF5-E011-A835-5FD04A2AEA22</v>
      </c>
      <c r="E134" s="1" t="str">
        <f>VLOOKUP(Table1[[#This Row],[sekolah_id]],Table4[],2,FALSE)</f>
        <v>SD NEGERI 1 CENDANA</v>
      </c>
      <c r="F134" s="1">
        <f>VLOOKUP(Table1[[#This Row],[sekolah_id]],Table4[],3,FALSE)</f>
        <v>20304576</v>
      </c>
      <c r="H134">
        <v>146515219</v>
      </c>
      <c r="I134" t="s">
        <v>131</v>
      </c>
      <c r="J134" t="s">
        <v>288</v>
      </c>
    </row>
    <row r="135" spans="1:10" x14ac:dyDescent="0.25">
      <c r="A135" t="s">
        <v>159</v>
      </c>
      <c r="B135">
        <v>3139045047</v>
      </c>
      <c r="C135" s="1">
        <v>3304051004130000</v>
      </c>
      <c r="D135" s="1" t="str">
        <f>VLOOKUP(Table1[[#This Row],[nisn]],Table3[],3,FALSE)</f>
        <v>907ABD55-2DF5-E011-A68A-6322468137CA</v>
      </c>
      <c r="E135" s="1" t="str">
        <f>VLOOKUP(Table1[[#This Row],[sekolah_id]],Table4[],2,FALSE)</f>
        <v>SD NEGERI 2 BINORONG</v>
      </c>
      <c r="F135" s="1">
        <f>VLOOKUP(Table1[[#This Row],[sekolah_id]],Table4[],3,FALSE)</f>
        <v>20304496</v>
      </c>
      <c r="H135">
        <v>3132289119</v>
      </c>
      <c r="I135" t="s">
        <v>132</v>
      </c>
      <c r="J135" t="s">
        <v>354</v>
      </c>
    </row>
    <row r="136" spans="1:10" x14ac:dyDescent="0.25">
      <c r="A136" t="s">
        <v>4</v>
      </c>
      <c r="B136">
        <v>144813452</v>
      </c>
      <c r="C136" s="1">
        <v>3304150209140000</v>
      </c>
      <c r="D136" s="1" t="str">
        <f>VLOOKUP(Table1[[#This Row],[nisn]],Table3[],3,FALSE)</f>
        <v>F0E8AD63-ABDC-E211-9E7C-7FFB85D7433E</v>
      </c>
      <c r="E136" s="1" t="str">
        <f>VLOOKUP(Table1[[#This Row],[sekolah_id]],Table4[],2,FALSE)</f>
        <v>SD NEGERI 1 BEJI</v>
      </c>
      <c r="F136" s="1">
        <f>VLOOKUP(Table1[[#This Row],[sekolah_id]],Table4[],3,FALSE)</f>
        <v>20304600</v>
      </c>
      <c r="H136">
        <v>3147488573</v>
      </c>
      <c r="I136" t="s">
        <v>133</v>
      </c>
      <c r="J136" t="s">
        <v>362</v>
      </c>
    </row>
    <row r="137" spans="1:10" x14ac:dyDescent="0.25">
      <c r="A137" t="s">
        <v>4</v>
      </c>
      <c r="B137">
        <v>144813452</v>
      </c>
      <c r="C137" s="1">
        <v>3304150209140000</v>
      </c>
      <c r="D137" s="1" t="str">
        <f>VLOOKUP(Table1[[#This Row],[nisn]],Table3[],3,FALSE)</f>
        <v>F0E8AD63-ABDC-E211-9E7C-7FFB85D7433E</v>
      </c>
      <c r="E137" s="1" t="str">
        <f>VLOOKUP(Table1[[#This Row],[sekolah_id]],Table4[],2,FALSE)</f>
        <v>SD NEGERI 1 BEJI</v>
      </c>
      <c r="F137" s="1">
        <f>VLOOKUP(Table1[[#This Row],[sekolah_id]],Table4[],3,FALSE)</f>
        <v>20304600</v>
      </c>
      <c r="H137">
        <v>3139606872</v>
      </c>
      <c r="I137" t="s">
        <v>134</v>
      </c>
      <c r="J137" t="s">
        <v>304</v>
      </c>
    </row>
    <row r="138" spans="1:10" x14ac:dyDescent="0.25">
      <c r="A138" t="s">
        <v>141</v>
      </c>
      <c r="B138">
        <v>3142311885</v>
      </c>
      <c r="C138" s="1">
        <v>3304112212140000</v>
      </c>
      <c r="D138" s="1" t="str">
        <f>VLOOKUP(Table1[[#This Row],[nisn]],Table3[],3,FALSE)</f>
        <v>A6F99D00-F0E9-49F4-8A8B-1600D3C8564F</v>
      </c>
      <c r="E138" s="1" t="str">
        <f>VLOOKUP(Table1[[#This Row],[sekolah_id]],Table4[],2,FALSE)</f>
        <v>MIS NU KINCANG</v>
      </c>
      <c r="F138" s="1">
        <f>VLOOKUP(Table1[[#This Row],[sekolah_id]],Table4[],3,FALSE)</f>
        <v>60710835</v>
      </c>
      <c r="H138">
        <v>145570812</v>
      </c>
      <c r="I138" t="s">
        <v>135</v>
      </c>
      <c r="J138" t="s">
        <v>288</v>
      </c>
    </row>
    <row r="139" spans="1:10" x14ac:dyDescent="0.25">
      <c r="A139" t="s">
        <v>135</v>
      </c>
      <c r="B139">
        <v>145570812</v>
      </c>
      <c r="C139" s="1">
        <v>3304170601140000</v>
      </c>
      <c r="D139" s="1" t="str">
        <f>VLOOKUP(Table1[[#This Row],[nisn]],Table3[],3,FALSE)</f>
        <v>7A2322A5-3851-4CC6-83E7-0BF15D6E03FE</v>
      </c>
      <c r="E139" s="1" t="str">
        <f>VLOOKUP(Table1[[#This Row],[sekolah_id]],Table4[],2,FALSE)</f>
        <v>MIS MUHAMMADIYAH WANAYASA</v>
      </c>
      <c r="F139" s="1">
        <f>VLOOKUP(Table1[[#This Row],[sekolah_id]],Table4[],3,FALSE)</f>
        <v>60710866</v>
      </c>
      <c r="H139">
        <v>144813452</v>
      </c>
      <c r="I139" t="s">
        <v>4</v>
      </c>
      <c r="J139" t="s">
        <v>250</v>
      </c>
    </row>
    <row r="140" spans="1:10" x14ac:dyDescent="0.25">
      <c r="A140" t="s">
        <v>29</v>
      </c>
      <c r="B140">
        <v>3141398388</v>
      </c>
      <c r="C140" s="1">
        <v>3304052504140000</v>
      </c>
      <c r="D140" s="1" t="str">
        <f>VLOOKUP(Table1[[#This Row],[nisn]],Table3[],3,FALSE)</f>
        <v>30D1BB55-2DF5-E011-8E50-E9801445C64D</v>
      </c>
      <c r="E140" s="1" t="str">
        <f>VLOOKUP(Table1[[#This Row],[sekolah_id]],Table4[],2,FALSE)</f>
        <v>SD NEGERI 1 BANDINGAN</v>
      </c>
      <c r="F140" s="1">
        <f>VLOOKUP(Table1[[#This Row],[sekolah_id]],Table4[],3,FALSE)</f>
        <v>20304142</v>
      </c>
      <c r="H140">
        <v>3155212673</v>
      </c>
      <c r="I140" t="s">
        <v>136</v>
      </c>
      <c r="J140" t="s">
        <v>206</v>
      </c>
    </row>
    <row r="141" spans="1:10" x14ac:dyDescent="0.25">
      <c r="A141" t="s">
        <v>42</v>
      </c>
      <c r="B141">
        <v>134634377</v>
      </c>
      <c r="C141" s="1">
        <v>3304060909130000</v>
      </c>
      <c r="D141" s="1" t="str">
        <f>VLOOKUP(Table1[[#This Row],[nisn]],Table3[],3,FALSE)</f>
        <v>A06F5AD1-05B6-E111-BDCF-712A786325C6</v>
      </c>
      <c r="E141" s="1" t="str">
        <f>VLOOKUP(Table1[[#This Row],[sekolah_id]],Table4[],2,FALSE)</f>
        <v>SD IT PERMATA HATI PETAMBAKAN</v>
      </c>
      <c r="F141" s="1">
        <f>VLOOKUP(Table1[[#This Row],[sekolah_id]],Table4[],3,FALSE)</f>
        <v>20340877</v>
      </c>
      <c r="H141">
        <v>3161410949</v>
      </c>
      <c r="I141" t="s">
        <v>137</v>
      </c>
      <c r="J141" t="s">
        <v>320</v>
      </c>
    </row>
    <row r="142" spans="1:10" x14ac:dyDescent="0.25">
      <c r="A142" t="s">
        <v>38</v>
      </c>
      <c r="B142">
        <v>3131617855</v>
      </c>
      <c r="C142" s="1">
        <v>3304052710130000</v>
      </c>
      <c r="D142" s="1" t="str">
        <f>VLOOKUP(Table1[[#This Row],[nisn]],Table3[],3,FALSE)</f>
        <v>30D1BB55-2DF5-E011-8E50-E9801445C64D</v>
      </c>
      <c r="E142" s="1" t="str">
        <f>VLOOKUP(Table1[[#This Row],[sekolah_id]],Table4[],2,FALSE)</f>
        <v>SD NEGERI 1 BANDINGAN</v>
      </c>
      <c r="F142" s="1">
        <f>VLOOKUP(Table1[[#This Row],[sekolah_id]],Table4[],3,FALSE)</f>
        <v>20304142</v>
      </c>
      <c r="H142">
        <v>3163664703</v>
      </c>
      <c r="I142" t="s">
        <v>138</v>
      </c>
      <c r="J142" t="s">
        <v>206</v>
      </c>
    </row>
    <row r="143" spans="1:10" x14ac:dyDescent="0.25">
      <c r="A143" t="s">
        <v>62</v>
      </c>
      <c r="B143">
        <v>3158779306</v>
      </c>
      <c r="C143" s="1">
        <v>3304171403150000</v>
      </c>
      <c r="D143" s="1" t="str">
        <f>VLOOKUP(Table1[[#This Row],[nisn]],Table3[],3,FALSE)</f>
        <v>C0EDD355-2DF5-E011-9349-674A6FF36591</v>
      </c>
      <c r="E143" s="1" t="str">
        <f>VLOOKUP(Table1[[#This Row],[sekolah_id]],Table4[],2,FALSE)</f>
        <v>SD NEGERI 2 PANDANSARI</v>
      </c>
      <c r="F143" s="1">
        <f>VLOOKUP(Table1[[#This Row],[sekolah_id]],Table4[],3,FALSE)</f>
        <v>20303922</v>
      </c>
      <c r="H143">
        <v>3152194920</v>
      </c>
      <c r="I143" t="s">
        <v>139</v>
      </c>
      <c r="J143" t="s">
        <v>206</v>
      </c>
    </row>
    <row r="144" spans="1:10" x14ac:dyDescent="0.25">
      <c r="A144" t="s">
        <v>92</v>
      </c>
      <c r="B144">
        <v>137467700</v>
      </c>
      <c r="C144" s="1">
        <v>3304162012130000</v>
      </c>
      <c r="D144" s="1" t="str">
        <f>VLOOKUP(Table1[[#This Row],[nisn]],Table3[],3,FALSE)</f>
        <v>4003C555-2DF5-E011-A0A0-B5A41D115A94</v>
      </c>
      <c r="E144" s="1" t="str">
        <f>VLOOKUP(Table1[[#This Row],[sekolah_id]],Table4[],2,FALSE)</f>
        <v>SD NEGERI 1 KEPAKISAN</v>
      </c>
      <c r="F144" s="1">
        <f>VLOOKUP(Table1[[#This Row],[sekolah_id]],Table4[],3,FALSE)</f>
        <v>20304611</v>
      </c>
      <c r="H144">
        <v>3134811924</v>
      </c>
      <c r="I144" t="s">
        <v>140</v>
      </c>
      <c r="J144" t="s">
        <v>284</v>
      </c>
    </row>
    <row r="145" spans="1:10" x14ac:dyDescent="0.25">
      <c r="A145" t="s">
        <v>18</v>
      </c>
      <c r="B145">
        <v>134273049</v>
      </c>
      <c r="C145" s="1">
        <v>3304170511130000</v>
      </c>
      <c r="D145" s="1" t="str">
        <f>VLOOKUP(Table1[[#This Row],[nisn]],Table3[],3,FALSE)</f>
        <v>604DD355-2DF5-E011-846E-579BB35DBCE3</v>
      </c>
      <c r="E145" s="1" t="str">
        <f>VLOOKUP(Table1[[#This Row],[sekolah_id]],Table4[],2,FALSE)</f>
        <v>SD NEGERI 1 PANDANSARI</v>
      </c>
      <c r="F145" s="1">
        <f>VLOOKUP(Table1[[#This Row],[sekolah_id]],Table4[],3,FALSE)</f>
        <v>20304451</v>
      </c>
      <c r="H145">
        <v>3142311885</v>
      </c>
      <c r="I145" t="s">
        <v>141</v>
      </c>
      <c r="J145" t="s">
        <v>320</v>
      </c>
    </row>
    <row r="146" spans="1:10" x14ac:dyDescent="0.25">
      <c r="A146" t="s">
        <v>44</v>
      </c>
      <c r="B146">
        <v>132702174</v>
      </c>
      <c r="C146" s="1">
        <v>3304114404130000</v>
      </c>
      <c r="D146" s="1" t="str">
        <f>VLOOKUP(Table1[[#This Row],[nisn]],Table3[],3,FALSE)</f>
        <v>60B0C655-2DF5-E011-A416-1F7820C88B94</v>
      </c>
      <c r="E146" s="1" t="str">
        <f>VLOOKUP(Table1[[#This Row],[sekolah_id]],Table4[],2,FALSE)</f>
        <v>SD NEGERI 1 LENGKONG</v>
      </c>
      <c r="F146" s="1">
        <f>VLOOKUP(Table1[[#This Row],[sekolah_id]],Table4[],3,FALSE)</f>
        <v>20304627</v>
      </c>
      <c r="H146">
        <v>3136875662</v>
      </c>
      <c r="I146" t="s">
        <v>142</v>
      </c>
      <c r="J146" t="s">
        <v>352</v>
      </c>
    </row>
    <row r="147" spans="1:10" x14ac:dyDescent="0.25">
      <c r="A147" t="s">
        <v>117</v>
      </c>
      <c r="B147">
        <v>136320441</v>
      </c>
      <c r="C147" s="1">
        <v>3304036409130000</v>
      </c>
      <c r="D147" s="1" t="str">
        <f>VLOOKUP(Table1[[#This Row],[nisn]],Table3[],3,FALSE)</f>
        <v>A044B855-2DF5-E011-AF5A-BFAF5382C433</v>
      </c>
      <c r="E147" s="1" t="str">
        <f>VLOOKUP(Table1[[#This Row],[sekolah_id]],Table4[],2,FALSE)</f>
        <v>SD NEGERI 3 MANDIRAJA WETAN</v>
      </c>
      <c r="F147" s="1">
        <f>VLOOKUP(Table1[[#This Row],[sekolah_id]],Table4[],3,FALSE)</f>
        <v>20340835</v>
      </c>
      <c r="H147">
        <v>3138349582</v>
      </c>
      <c r="I147" t="s">
        <v>143</v>
      </c>
      <c r="J147" t="s">
        <v>308</v>
      </c>
    </row>
    <row r="148" spans="1:10" x14ac:dyDescent="0.25">
      <c r="A148" t="s">
        <v>8</v>
      </c>
      <c r="B148">
        <v>3138577757</v>
      </c>
      <c r="C148" s="1">
        <v>3304035211130000</v>
      </c>
      <c r="D148" s="1" t="str">
        <f>VLOOKUP(Table1[[#This Row],[nisn]],Table3[],3,FALSE)</f>
        <v>D01CB855-2DF5-E011-B2AB-C98ECC834AF5</v>
      </c>
      <c r="E148" s="1" t="str">
        <f>VLOOKUP(Table1[[#This Row],[sekolah_id]],Table4[],2,FALSE)</f>
        <v>SD NEGERI 3 PURWASABA</v>
      </c>
      <c r="F148" s="1">
        <f>VLOOKUP(Table1[[#This Row],[sekolah_id]],Table4[],3,FALSE)</f>
        <v>20338259</v>
      </c>
      <c r="H148">
        <v>3156910052</v>
      </c>
      <c r="I148" t="s">
        <v>144</v>
      </c>
      <c r="J148" t="s">
        <v>206</v>
      </c>
    </row>
    <row r="149" spans="1:10" x14ac:dyDescent="0.25">
      <c r="A149" t="s">
        <v>181</v>
      </c>
      <c r="B149">
        <v>134868000</v>
      </c>
      <c r="C149" s="1">
        <v>3304015610130000</v>
      </c>
      <c r="D149" s="1" t="str">
        <f>VLOOKUP(Table1[[#This Row],[nisn]],Table3[],3,FALSE)</f>
        <v>404AB355-2DF5-E011-8E9A-FD847D4A0D28</v>
      </c>
      <c r="E149" s="1" t="str">
        <f>VLOOKUP(Table1[[#This Row],[sekolah_id]],Table4[],2,FALSE)</f>
        <v>SD NEGERI PIASA WETAN</v>
      </c>
      <c r="F149" s="1">
        <f>VLOOKUP(Table1[[#This Row],[sekolah_id]],Table4[],3,FALSE)</f>
        <v>20303969</v>
      </c>
      <c r="H149">
        <v>162757469</v>
      </c>
      <c r="I149" t="s">
        <v>145</v>
      </c>
      <c r="J149" t="s">
        <v>290</v>
      </c>
    </row>
    <row r="150" spans="1:10" x14ac:dyDescent="0.25">
      <c r="A150" t="s">
        <v>67</v>
      </c>
      <c r="B150">
        <v>3131503392</v>
      </c>
      <c r="C150" s="1">
        <v>3304036104130000</v>
      </c>
      <c r="D150" s="1" t="str">
        <f>VLOOKUP(Table1[[#This Row],[nisn]],Table3[],3,FALSE)</f>
        <v>A044B855-2DF5-E011-AF5A-BFAF5382C433</v>
      </c>
      <c r="E150" s="1" t="str">
        <f>VLOOKUP(Table1[[#This Row],[sekolah_id]],Table4[],2,FALSE)</f>
        <v>SD NEGERI 3 MANDIRAJA WETAN</v>
      </c>
      <c r="F150" s="1">
        <f>VLOOKUP(Table1[[#This Row],[sekolah_id]],Table4[],3,FALSE)</f>
        <v>20340835</v>
      </c>
      <c r="H150">
        <v>3136291349</v>
      </c>
      <c r="I150" t="s">
        <v>146</v>
      </c>
      <c r="J150" t="s">
        <v>312</v>
      </c>
    </row>
    <row r="151" spans="1:10" x14ac:dyDescent="0.25">
      <c r="A151" t="s">
        <v>78</v>
      </c>
      <c r="B151">
        <v>3142038384</v>
      </c>
      <c r="C151" s="1">
        <v>3304035405140000</v>
      </c>
      <c r="D151" s="1" t="str">
        <f>VLOOKUP(Table1[[#This Row],[nisn]],Table3[],3,FALSE)</f>
        <v>6002B855-2DF5-E011-8A84-431B067CB9E2</v>
      </c>
      <c r="E151" s="1" t="str">
        <f>VLOOKUP(Table1[[#This Row],[sekolah_id]],Table4[],2,FALSE)</f>
        <v>SD NEGERI 1 KEBAKALAN</v>
      </c>
      <c r="F151" s="1">
        <f>VLOOKUP(Table1[[#This Row],[sekolah_id]],Table4[],3,FALSE)</f>
        <v>20338237</v>
      </c>
      <c r="H151">
        <v>134348160</v>
      </c>
      <c r="I151" t="s">
        <v>147</v>
      </c>
      <c r="J151" t="s">
        <v>306</v>
      </c>
    </row>
    <row r="152" spans="1:10" x14ac:dyDescent="0.25">
      <c r="A152" t="s">
        <v>98</v>
      </c>
      <c r="B152">
        <v>3147017664</v>
      </c>
      <c r="C152" s="1">
        <v>3304114112140000</v>
      </c>
      <c r="D152" s="1" t="str">
        <f>VLOOKUP(Table1[[#This Row],[nisn]],Table3[],3,FALSE)</f>
        <v>1174A0F6-5824-49D8-929A-0037B0487182</v>
      </c>
      <c r="E152" s="1" t="str">
        <f>VLOOKUP(Table1[[#This Row],[sekolah_id]],Table4[],2,FALSE)</f>
        <v>MIS COKROAMINOTO 02 BADAMITA</v>
      </c>
      <c r="F152" s="1">
        <f>VLOOKUP(Table1[[#This Row],[sekolah_id]],Table4[],3,FALSE)</f>
        <v>60710840</v>
      </c>
      <c r="H152">
        <v>143318234</v>
      </c>
      <c r="I152" t="s">
        <v>148</v>
      </c>
      <c r="J152" t="s">
        <v>308</v>
      </c>
    </row>
    <row r="153" spans="1:10" x14ac:dyDescent="0.25">
      <c r="A153" t="s">
        <v>164</v>
      </c>
      <c r="B153">
        <v>139401651</v>
      </c>
      <c r="C153" s="1">
        <v>3304176312140000</v>
      </c>
      <c r="D153" s="1" t="str">
        <f>VLOOKUP(Table1[[#This Row],[nisn]],Table3[],3,FALSE)</f>
        <v>C0EDD355-2DF5-E011-9349-674A6FF36591</v>
      </c>
      <c r="E153" s="1" t="str">
        <f>VLOOKUP(Table1[[#This Row],[sekolah_id]],Table4[],2,FALSE)</f>
        <v>SD NEGERI 2 PANDANSARI</v>
      </c>
      <c r="F153" s="1">
        <f>VLOOKUP(Table1[[#This Row],[sekolah_id]],Table4[],3,FALSE)</f>
        <v>20303922</v>
      </c>
      <c r="H153">
        <v>134665468</v>
      </c>
      <c r="I153" t="s">
        <v>149</v>
      </c>
      <c r="J153" t="s">
        <v>288</v>
      </c>
    </row>
    <row r="154" spans="1:10" x14ac:dyDescent="0.25">
      <c r="A154" t="s">
        <v>172</v>
      </c>
      <c r="B154">
        <v>147696169</v>
      </c>
      <c r="C154" s="1">
        <v>3304182506140000</v>
      </c>
      <c r="D154" s="1" t="str">
        <f>VLOOKUP(Table1[[#This Row],[nisn]],Table3[],3,FALSE)</f>
        <v>6086D555-2DF5-E011-95CB-D33E6E27C5CE</v>
      </c>
      <c r="E154" s="1" t="str">
        <f>VLOOKUP(Table1[[#This Row],[sekolah_id]],Table4[],2,FALSE)</f>
        <v>SD NEGERI 1 KALIBOMBONG</v>
      </c>
      <c r="F154" s="1">
        <f>VLOOKUP(Table1[[#This Row],[sekolah_id]],Table4[],3,FALSE)</f>
        <v>20304635</v>
      </c>
      <c r="H154">
        <v>3130505441</v>
      </c>
      <c r="I154" t="s">
        <v>150</v>
      </c>
      <c r="J154" t="s">
        <v>254</v>
      </c>
    </row>
    <row r="155" spans="1:10" x14ac:dyDescent="0.25">
      <c r="A155" t="s">
        <v>87</v>
      </c>
      <c r="B155">
        <v>3138580943</v>
      </c>
      <c r="C155" s="1">
        <v>3304122304130000</v>
      </c>
      <c r="D155" s="1" t="str">
        <f>VLOOKUP(Table1[[#This Row],[nisn]],Table3[],3,FALSE)</f>
        <v>20D4C855-2DF5-E011-B136-D1494C0E693A</v>
      </c>
      <c r="E155" s="1" t="str">
        <f>VLOOKUP(Table1[[#This Row],[sekolah_id]],Table4[],2,FALSE)</f>
        <v>SD NEGERI 1 DANAKERTA</v>
      </c>
      <c r="F155" s="1">
        <f>VLOOKUP(Table1[[#This Row],[sekolah_id]],Table4[],3,FALSE)</f>
        <v>20304548</v>
      </c>
      <c r="H155">
        <v>135755352</v>
      </c>
      <c r="I155" t="s">
        <v>151</v>
      </c>
      <c r="J155" t="s">
        <v>332</v>
      </c>
    </row>
    <row r="156" spans="1:10" x14ac:dyDescent="0.25">
      <c r="A156" t="s">
        <v>161</v>
      </c>
      <c r="B156">
        <v>3139189949</v>
      </c>
      <c r="C156" s="1">
        <v>3304065508130000</v>
      </c>
      <c r="D156" s="1" t="str">
        <f>VLOOKUP(Table1[[#This Row],[nisn]],Table3[],3,FALSE)</f>
        <v>C013BF55-2DF5-E011-9E4E-7F13E74E6CD5</v>
      </c>
      <c r="E156" s="1" t="str">
        <f>VLOOKUP(Table1[[#This Row],[sekolah_id]],Table4[],2,FALSE)</f>
        <v>SD NEGERI 1 ARGASOKA</v>
      </c>
      <c r="F156" s="1">
        <f>VLOOKUP(Table1[[#This Row],[sekolah_id]],Table4[],3,FALSE)</f>
        <v>20304584</v>
      </c>
      <c r="H156">
        <v>147722519</v>
      </c>
      <c r="I156" t="s">
        <v>152</v>
      </c>
      <c r="J156" t="s">
        <v>332</v>
      </c>
    </row>
    <row r="157" spans="1:10" x14ac:dyDescent="0.25">
      <c r="A157" t="s">
        <v>83</v>
      </c>
      <c r="B157">
        <v>3146808309</v>
      </c>
      <c r="C157" s="1">
        <v>3304121504140000</v>
      </c>
      <c r="D157" s="1" t="str">
        <f>VLOOKUP(Table1[[#This Row],[nisn]],Table3[],3,FALSE)</f>
        <v>7030C855-2DF5-E011-B9BD-1D424346E96E</v>
      </c>
      <c r="E157" s="1" t="str">
        <f>VLOOKUP(Table1[[#This Row],[sekolah_id]],Table4[],2,FALSE)</f>
        <v>SD NEGERI 2 BONDOLHARJO</v>
      </c>
      <c r="F157" s="1">
        <f>VLOOKUP(Table1[[#This Row],[sekolah_id]],Table4[],3,FALSE)</f>
        <v>20304494</v>
      </c>
      <c r="H157">
        <v>3132098766</v>
      </c>
      <c r="I157" t="s">
        <v>153</v>
      </c>
      <c r="J157" t="s">
        <v>290</v>
      </c>
    </row>
    <row r="158" spans="1:10" x14ac:dyDescent="0.25">
      <c r="A158" t="s">
        <v>163</v>
      </c>
      <c r="B158">
        <v>134301304</v>
      </c>
      <c r="C158" s="1">
        <v>3304067011130000</v>
      </c>
      <c r="D158" s="1" t="str">
        <f>VLOOKUP(Table1[[#This Row],[nisn]],Table3[],3,FALSE)</f>
        <v>3075BE55-2DF5-E011-AE2C-B94C79E0FECC</v>
      </c>
      <c r="E158" s="1" t="str">
        <f>VLOOKUP(Table1[[#This Row],[sekolah_id]],Table4[],2,FALSE)</f>
        <v>SD NEGERI 1 KUTABANJARNEGARA</v>
      </c>
      <c r="F158" s="1">
        <f>VLOOKUP(Table1[[#This Row],[sekolah_id]],Table4[],3,FALSE)</f>
        <v>20304620</v>
      </c>
      <c r="H158">
        <v>138870035</v>
      </c>
      <c r="I158" t="s">
        <v>154</v>
      </c>
      <c r="J158" t="s">
        <v>332</v>
      </c>
    </row>
    <row r="159" spans="1:10" x14ac:dyDescent="0.25">
      <c r="A159" t="s">
        <v>46</v>
      </c>
      <c r="B159">
        <v>3143452537</v>
      </c>
      <c r="C159" s="1">
        <v>3304114601140000</v>
      </c>
      <c r="D159" s="1" t="str">
        <f>VLOOKUP(Table1[[#This Row],[nisn]],Table3[],3,FALSE)</f>
        <v>F71CBB1F-DF59-40B4-9BBE-AFA1BED8B314</v>
      </c>
      <c r="E159" s="1" t="str">
        <f>VLOOKUP(Table1[[#This Row],[sekolah_id]],Table4[],2,FALSE)</f>
        <v>MIS AL MAARIF GELANG</v>
      </c>
      <c r="F159" s="1">
        <f>VLOOKUP(Table1[[#This Row],[sekolah_id]],Table4[],3,FALSE)</f>
        <v>60710829</v>
      </c>
      <c r="H159">
        <v>3171553749</v>
      </c>
      <c r="I159" t="s">
        <v>155</v>
      </c>
      <c r="J159" t="s">
        <v>360</v>
      </c>
    </row>
    <row r="160" spans="1:10" x14ac:dyDescent="0.25">
      <c r="A160" t="s">
        <v>22</v>
      </c>
      <c r="B160">
        <v>133842289</v>
      </c>
      <c r="C160" s="1">
        <v>3304062501130000</v>
      </c>
      <c r="D160" s="1" t="str">
        <f>VLOOKUP(Table1[[#This Row],[nisn]],Table3[],3,FALSE)</f>
        <v>500EC355-2DF5-E011-A835-5FD04A2AEA22</v>
      </c>
      <c r="E160" s="1" t="str">
        <f>VLOOKUP(Table1[[#This Row],[sekolah_id]],Table4[],2,FALSE)</f>
        <v>SD NEGERI 1 CENDANA</v>
      </c>
      <c r="F160" s="1">
        <f>VLOOKUP(Table1[[#This Row],[sekolah_id]],Table4[],3,FALSE)</f>
        <v>20304576</v>
      </c>
      <c r="H160">
        <v>167330368</v>
      </c>
      <c r="I160" t="s">
        <v>156</v>
      </c>
      <c r="J160" t="s">
        <v>346</v>
      </c>
    </row>
    <row r="161" spans="1:10" x14ac:dyDescent="0.25">
      <c r="A161" t="s">
        <v>184</v>
      </c>
      <c r="B161">
        <v>133351394</v>
      </c>
      <c r="C161" s="1">
        <v>3304191210130000</v>
      </c>
      <c r="D161" s="1" t="str">
        <f>VLOOKUP(Table1[[#This Row],[nisn]],Table3[],3,FALSE)</f>
        <v>C000D755-2DF5-E011-B97E-C9229252B54E</v>
      </c>
      <c r="E161" s="1" t="str">
        <f>VLOOKUP(Table1[[#This Row],[sekolah_id]],Table4[],2,FALSE)</f>
        <v>SD NEGERI 1 PANDANARUM</v>
      </c>
      <c r="F161" s="1">
        <f>VLOOKUP(Table1[[#This Row],[sekolah_id]],Table4[],3,FALSE)</f>
        <v>20304452</v>
      </c>
      <c r="H161">
        <v>141399894</v>
      </c>
      <c r="I161" t="s">
        <v>157</v>
      </c>
      <c r="J161" t="s">
        <v>258</v>
      </c>
    </row>
    <row r="162" spans="1:10" x14ac:dyDescent="0.25">
      <c r="A162" t="s">
        <v>166</v>
      </c>
      <c r="B162">
        <v>3148388655</v>
      </c>
      <c r="C162" s="1">
        <v>3304182710140000</v>
      </c>
      <c r="D162" s="1" t="str">
        <f>VLOOKUP(Table1[[#This Row],[nisn]],Table3[],3,FALSE)</f>
        <v>6086D555-2DF5-E011-95CB-D33E6E27C5CE</v>
      </c>
      <c r="E162" s="1" t="str">
        <f>VLOOKUP(Table1[[#This Row],[sekolah_id]],Table4[],2,FALSE)</f>
        <v>SD NEGERI 1 KALIBOMBONG</v>
      </c>
      <c r="F162" s="1">
        <f>VLOOKUP(Table1[[#This Row],[sekolah_id]],Table4[],3,FALSE)</f>
        <v>20304635</v>
      </c>
      <c r="H162">
        <v>149163102</v>
      </c>
      <c r="I162" t="s">
        <v>158</v>
      </c>
      <c r="J162" t="s">
        <v>218</v>
      </c>
    </row>
    <row r="163" spans="1:10" x14ac:dyDescent="0.25">
      <c r="A163" t="s">
        <v>191</v>
      </c>
      <c r="B163">
        <v>132574296</v>
      </c>
      <c r="C163" s="1">
        <v>3304096412130000</v>
      </c>
      <c r="D163" s="1" t="str">
        <f>VLOOKUP(Table1[[#This Row],[nisn]],Table3[],3,FALSE)</f>
        <v>00673C59-2DF5-E011-93CD-DD39F293956D</v>
      </c>
      <c r="E163" s="1" t="str">
        <f>VLOOKUP(Table1[[#This Row],[sekolah_id]],Table4[],2,FALSE)</f>
        <v>SD MUHAMMADIYAH 4 BANJARNEGARA</v>
      </c>
      <c r="F163" s="1">
        <f>VLOOKUP(Table1[[#This Row],[sekolah_id]],Table4[],3,FALSE)</f>
        <v>20304248</v>
      </c>
      <c r="H163">
        <v>3139045047</v>
      </c>
      <c r="I163" t="s">
        <v>159</v>
      </c>
      <c r="J163" t="s">
        <v>324</v>
      </c>
    </row>
    <row r="164" spans="1:10" x14ac:dyDescent="0.25">
      <c r="A164" t="s">
        <v>47</v>
      </c>
      <c r="B164">
        <v>3130099972</v>
      </c>
      <c r="C164" s="1">
        <v>3304185804130000</v>
      </c>
      <c r="D164" s="1" t="str">
        <f>VLOOKUP(Table1[[#This Row],[nisn]],Table3[],3,FALSE)</f>
        <v>E04BCB55-2DF5-E011-83F2-71D497E27128</v>
      </c>
      <c r="E164" s="1" t="str">
        <f>VLOOKUP(Table1[[#This Row],[sekolah_id]],Table4[],2,FALSE)</f>
        <v>SDN 2 Karanggondang</v>
      </c>
      <c r="F164" s="1">
        <f>VLOOKUP(Table1[[#This Row],[sekolah_id]],Table4[],3,FALSE)</f>
        <v>20303819</v>
      </c>
      <c r="H164">
        <v>3159348253</v>
      </c>
      <c r="I164" t="s">
        <v>160</v>
      </c>
      <c r="J164" t="s">
        <v>364</v>
      </c>
    </row>
    <row r="165" spans="1:10" x14ac:dyDescent="0.25">
      <c r="A165" t="s">
        <v>14</v>
      </c>
      <c r="B165">
        <v>3140496088</v>
      </c>
      <c r="C165" s="1">
        <v>3304185506140000</v>
      </c>
      <c r="D165" s="1" t="str">
        <f>VLOOKUP(Table1[[#This Row],[nisn]],Table3[],3,FALSE)</f>
        <v>E04BCB55-2DF5-E011-83F2-71D497E27128</v>
      </c>
      <c r="E165" s="1" t="str">
        <f>VLOOKUP(Table1[[#This Row],[sekolah_id]],Table4[],2,FALSE)</f>
        <v>SDN 2 Karanggondang</v>
      </c>
      <c r="F165" s="1">
        <f>VLOOKUP(Table1[[#This Row],[sekolah_id]],Table4[],3,FALSE)</f>
        <v>20303819</v>
      </c>
      <c r="H165">
        <v>3139189949</v>
      </c>
      <c r="I165" t="s">
        <v>161</v>
      </c>
      <c r="J165" t="s">
        <v>312</v>
      </c>
    </row>
    <row r="166" spans="1:10" x14ac:dyDescent="0.25">
      <c r="A166" t="s">
        <v>115</v>
      </c>
      <c r="B166">
        <v>3145537778</v>
      </c>
      <c r="C166" s="1">
        <v>3304195603140000</v>
      </c>
      <c r="D166" s="1" t="str">
        <f>VLOOKUP(Table1[[#This Row],[nisn]],Table3[],3,FALSE)</f>
        <v>60BAD555-2DF5-E011-B469-2D2E5A0AFD1B</v>
      </c>
      <c r="E166" s="1" t="str">
        <f>VLOOKUP(Table1[[#This Row],[sekolah_id]],Table4[],2,FALSE)</f>
        <v>SD NEGERI 1 PASEGERAN</v>
      </c>
      <c r="F166" s="1">
        <f>VLOOKUP(Table1[[#This Row],[sekolah_id]],Table4[],3,FALSE)</f>
        <v>20304463</v>
      </c>
      <c r="H166">
        <v>134864997</v>
      </c>
      <c r="I166" t="s">
        <v>162</v>
      </c>
      <c r="J166" t="s">
        <v>218</v>
      </c>
    </row>
    <row r="167" spans="1:10" x14ac:dyDescent="0.25">
      <c r="A167" t="s">
        <v>96</v>
      </c>
      <c r="B167">
        <v>3139802692</v>
      </c>
      <c r="C167" s="1">
        <v>3304050706130000</v>
      </c>
      <c r="D167" s="1" t="str">
        <f>VLOOKUP(Table1[[#This Row],[nisn]],Table3[],3,FALSE)</f>
        <v>60F87B1D-3A25-E111-A199-AB7ED113023E</v>
      </c>
      <c r="E167" s="1" t="str">
        <f>VLOOKUP(Table1[[#This Row],[sekolah_id]],Table4[],2,FALSE)</f>
        <v>SD NEGERI 1 BLAMBANGAN</v>
      </c>
      <c r="F167" s="1">
        <f>VLOOKUP(Table1[[#This Row],[sekolah_id]],Table4[],3,FALSE)</f>
        <v>20304595</v>
      </c>
      <c r="H167">
        <v>134301304</v>
      </c>
      <c r="I167" t="s">
        <v>163</v>
      </c>
      <c r="J167" t="s">
        <v>322</v>
      </c>
    </row>
    <row r="168" spans="1:10" x14ac:dyDescent="0.25">
      <c r="A168" t="s">
        <v>48</v>
      </c>
      <c r="B168">
        <v>3140294460</v>
      </c>
      <c r="C168" s="1">
        <v>3304114606140000</v>
      </c>
      <c r="D168" s="1" t="str">
        <f>VLOOKUP(Table1[[#This Row],[nisn]],Table3[],3,FALSE)</f>
        <v>F019C755-2DF5-E011-85BB-69FA8F8CBD69</v>
      </c>
      <c r="E168" s="1" t="str">
        <f>VLOOKUP(Table1[[#This Row],[sekolah_id]],Table4[],2,FALSE)</f>
        <v>SD NEGERI 2 GELANG</v>
      </c>
      <c r="F168" s="1">
        <f>VLOOKUP(Table1[[#This Row],[sekolah_id]],Table4[],3,FALSE)</f>
        <v>20303848</v>
      </c>
      <c r="H168">
        <v>139401651</v>
      </c>
      <c r="I168" t="s">
        <v>164</v>
      </c>
      <c r="J168" t="s">
        <v>346</v>
      </c>
    </row>
    <row r="169" spans="1:10" x14ac:dyDescent="0.25">
      <c r="A169" t="s">
        <v>151</v>
      </c>
      <c r="B169">
        <v>135755352</v>
      </c>
      <c r="C169" s="1">
        <v>3304196711130000</v>
      </c>
      <c r="D169" s="1" t="str">
        <f>VLOOKUP(Table1[[#This Row],[nisn]],Table3[],3,FALSE)</f>
        <v>60BAD555-2DF5-E011-B469-2D2E5A0AFD1B</v>
      </c>
      <c r="E169" s="1" t="str">
        <f>VLOOKUP(Table1[[#This Row],[sekolah_id]],Table4[],2,FALSE)</f>
        <v>SD NEGERI 1 PASEGERAN</v>
      </c>
      <c r="F169" s="1">
        <f>VLOOKUP(Table1[[#This Row],[sekolah_id]],Table4[],3,FALSE)</f>
        <v>20304463</v>
      </c>
      <c r="H169">
        <v>132301331</v>
      </c>
      <c r="I169" t="s">
        <v>165</v>
      </c>
      <c r="J169" t="s">
        <v>212</v>
      </c>
    </row>
    <row r="170" spans="1:10" x14ac:dyDescent="0.25">
      <c r="A170" t="s">
        <v>54</v>
      </c>
      <c r="B170">
        <v>142622307</v>
      </c>
      <c r="C170" s="1">
        <v>3304120606140000</v>
      </c>
      <c r="D170" s="1" t="str">
        <f>VLOOKUP(Table1[[#This Row],[nisn]],Table3[],3,FALSE)</f>
        <v>2050C855-2DF5-E011-9379-4BAF9B049879</v>
      </c>
      <c r="E170" s="1" t="str">
        <f>VLOOKUP(Table1[[#This Row],[sekolah_id]],Table4[],2,FALSE)</f>
        <v>SD NEGERI 1 PETUGURAN</v>
      </c>
      <c r="F170" s="1">
        <f>VLOOKUP(Table1[[#This Row],[sekolah_id]],Table4[],3,FALSE)</f>
        <v>20304465</v>
      </c>
      <c r="H170">
        <v>3148388655</v>
      </c>
      <c r="I170" t="s">
        <v>166</v>
      </c>
      <c r="J170" t="s">
        <v>218</v>
      </c>
    </row>
    <row r="171" spans="1:10" x14ac:dyDescent="0.25">
      <c r="A171" t="s">
        <v>52</v>
      </c>
      <c r="B171">
        <v>3139152062</v>
      </c>
      <c r="C171" s="1">
        <v>3304182606130000</v>
      </c>
      <c r="D171" s="1" t="str">
        <f>VLOOKUP(Table1[[#This Row],[nisn]],Table3[],3,FALSE)</f>
        <v>E04BCB55-2DF5-E011-83F2-71D497E27128</v>
      </c>
      <c r="E171" s="1" t="str">
        <f>VLOOKUP(Table1[[#This Row],[sekolah_id]],Table4[],2,FALSE)</f>
        <v>SDN 2 Karanggondang</v>
      </c>
      <c r="F171" s="1">
        <f>VLOOKUP(Table1[[#This Row],[sekolah_id]],Table4[],3,FALSE)</f>
        <v>20303819</v>
      </c>
      <c r="H171">
        <v>3151801890</v>
      </c>
      <c r="I171" t="s">
        <v>167</v>
      </c>
      <c r="J171" t="s">
        <v>218</v>
      </c>
    </row>
    <row r="172" spans="1:10" x14ac:dyDescent="0.25">
      <c r="A172" t="s">
        <v>52</v>
      </c>
      <c r="B172">
        <v>3139152062</v>
      </c>
      <c r="C172" s="1">
        <v>3304182606130000</v>
      </c>
      <c r="D172" s="1" t="str">
        <f>VLOOKUP(Table1[[#This Row],[nisn]],Table3[],3,FALSE)</f>
        <v>E04BCB55-2DF5-E011-83F2-71D497E27128</v>
      </c>
      <c r="E172" s="1" t="str">
        <f>VLOOKUP(Table1[[#This Row],[sekolah_id]],Table4[],2,FALSE)</f>
        <v>SDN 2 Karanggondang</v>
      </c>
      <c r="F172" s="1">
        <f>VLOOKUP(Table1[[#This Row],[sekolah_id]],Table4[],3,FALSE)</f>
        <v>20303819</v>
      </c>
      <c r="H172">
        <v>137974804</v>
      </c>
      <c r="I172" t="s">
        <v>168</v>
      </c>
      <c r="J172" t="s">
        <v>314</v>
      </c>
    </row>
    <row r="173" spans="1:10" x14ac:dyDescent="0.25">
      <c r="A173" t="s">
        <v>95</v>
      </c>
      <c r="B173">
        <v>155238833</v>
      </c>
      <c r="C173" s="1">
        <v>3304020505150000</v>
      </c>
      <c r="D173" s="1" t="str">
        <f>VLOOKUP(Table1[[#This Row],[nisn]],Table3[],3,FALSE)</f>
        <v>4007B655-2DF5-E011-ABC0-6104C26EF768</v>
      </c>
      <c r="E173" s="1" t="str">
        <f>VLOOKUP(Table1[[#This Row],[sekolah_id]],Table4[],2,FALSE)</f>
        <v>SD NEGERI 5 PURWAREJA</v>
      </c>
      <c r="F173" s="1">
        <f>VLOOKUP(Table1[[#This Row],[sekolah_id]],Table4[],3,FALSE)</f>
        <v>20304146</v>
      </c>
      <c r="H173">
        <v>157908193</v>
      </c>
      <c r="I173" t="s">
        <v>169</v>
      </c>
      <c r="J173" t="s">
        <v>320</v>
      </c>
    </row>
    <row r="174" spans="1:10" x14ac:dyDescent="0.25">
      <c r="A174" t="s">
        <v>116</v>
      </c>
      <c r="B174">
        <v>3155366142</v>
      </c>
      <c r="C174" s="1">
        <v>3304020107150000</v>
      </c>
      <c r="D174" s="1" t="str">
        <f>VLOOKUP(Table1[[#This Row],[nisn]],Table3[],3,FALSE)</f>
        <v>803CB655-2DF5-E011-B99F-CF66145E84E7</v>
      </c>
      <c r="E174" s="1" t="str">
        <f>VLOOKUP(Table1[[#This Row],[sekolah_id]],Table4[],2,FALSE)</f>
        <v>SD NEGERI 3 KALIWINASUH</v>
      </c>
      <c r="F174" s="1">
        <f>VLOOKUP(Table1[[#This Row],[sekolah_id]],Table4[],3,FALSE)</f>
        <v>20303813</v>
      </c>
      <c r="H174">
        <v>137206026</v>
      </c>
      <c r="I174" t="s">
        <v>170</v>
      </c>
      <c r="J174" t="s">
        <v>332</v>
      </c>
    </row>
    <row r="175" spans="1:10" x14ac:dyDescent="0.25">
      <c r="A175" t="s">
        <v>180</v>
      </c>
      <c r="B175">
        <v>145552932</v>
      </c>
      <c r="C175" s="1">
        <v>3304066501140000</v>
      </c>
      <c r="D175" s="1" t="str">
        <f>VLOOKUP(Table1[[#This Row],[nisn]],Table3[],3,FALSE)</f>
        <v>A05ABE55-2DF5-E011-BB43-D3651BFD9DA1</v>
      </c>
      <c r="E175" s="1" t="str">
        <f>VLOOKUP(Table1[[#This Row],[sekolah_id]],Table4[],2,FALSE)</f>
        <v>SD NEGERI 4 KRANDEGAN</v>
      </c>
      <c r="F175" s="1">
        <f>VLOOKUP(Table1[[#This Row],[sekolah_id]],Table4[],3,FALSE)</f>
        <v>20304067</v>
      </c>
      <c r="H175">
        <v>3135222675</v>
      </c>
      <c r="I175" t="s">
        <v>171</v>
      </c>
      <c r="J175" t="s">
        <v>218</v>
      </c>
    </row>
    <row r="176" spans="1:10" x14ac:dyDescent="0.25">
      <c r="A176" t="s">
        <v>7</v>
      </c>
      <c r="B176">
        <v>131720950</v>
      </c>
      <c r="C176" s="1">
        <v>1271044709130000</v>
      </c>
      <c r="D176" s="1" t="str">
        <f>VLOOKUP(Table1[[#This Row],[nisn]],Table3[],3,FALSE)</f>
        <v>7025BE55-2DF5-E011-9373-43724474F268</v>
      </c>
      <c r="E176" s="1" t="str">
        <f>VLOOKUP(Table1[[#This Row],[sekolah_id]],Table4[],2,FALSE)</f>
        <v>SD NEGERI 1 KRANDEGAN</v>
      </c>
      <c r="F176" s="1">
        <f>VLOOKUP(Table1[[#This Row],[sekolah_id]],Table4[],3,FALSE)</f>
        <v>20304607</v>
      </c>
      <c r="H176">
        <v>147696169</v>
      </c>
      <c r="I176" t="s">
        <v>172</v>
      </c>
      <c r="J176" t="s">
        <v>218</v>
      </c>
    </row>
    <row r="177" spans="1:10" x14ac:dyDescent="0.25">
      <c r="A177" t="s">
        <v>145</v>
      </c>
      <c r="B177">
        <v>162757469</v>
      </c>
      <c r="C177" s="1">
        <v>3304054207160000</v>
      </c>
      <c r="D177" s="1" t="str">
        <f>VLOOKUP(Table1[[#This Row],[nisn]],Table3[],3,FALSE)</f>
        <v>E017BE55-2DF5-E011-86BF-EFC456463227</v>
      </c>
      <c r="E177" s="1" t="str">
        <f>VLOOKUP(Table1[[#This Row],[sekolah_id]],Table4[],2,FALSE)</f>
        <v>SD NEGERI 4 WANADRI</v>
      </c>
      <c r="F177" s="1">
        <f>VLOOKUP(Table1[[#This Row],[sekolah_id]],Table4[],3,FALSE)</f>
        <v>20304071</v>
      </c>
      <c r="H177">
        <v>143792561</v>
      </c>
      <c r="I177" t="s">
        <v>173</v>
      </c>
      <c r="J177" t="s">
        <v>218</v>
      </c>
    </row>
    <row r="178" spans="1:10" x14ac:dyDescent="0.25">
      <c r="A178" t="s">
        <v>104</v>
      </c>
      <c r="B178">
        <v>3152966073</v>
      </c>
      <c r="C178" s="1">
        <v>3304080605150000</v>
      </c>
      <c r="D178" s="1" t="str">
        <f>VLOOKUP(Table1[[#This Row],[nisn]],Table3[],3,FALSE)</f>
        <v>4063C255-2DF5-E011-A38D-479225BEAECA</v>
      </c>
      <c r="E178" s="1" t="str">
        <f>VLOOKUP(Table1[[#This Row],[sekolah_id]],Table4[],2,FALSE)</f>
        <v>SD NEGERI PENAWANGAN</v>
      </c>
      <c r="F178" s="1">
        <f>VLOOKUP(Table1[[#This Row],[sekolah_id]],Table4[],3,FALSE)</f>
        <v>20338910</v>
      </c>
      <c r="H178">
        <v>139335420</v>
      </c>
      <c r="I178" t="s">
        <v>174</v>
      </c>
      <c r="J178" t="s">
        <v>336</v>
      </c>
    </row>
    <row r="179" spans="1:10" x14ac:dyDescent="0.25">
      <c r="A179" t="s">
        <v>82</v>
      </c>
      <c r="B179">
        <v>3138292628</v>
      </c>
      <c r="C179" s="1">
        <v>3304196011130000</v>
      </c>
      <c r="D179" s="1" t="str">
        <f>VLOOKUP(Table1[[#This Row],[nisn]],Table3[],3,FALSE)</f>
        <v>60BAD555-2DF5-E011-B469-2D2E5A0AFD1B</v>
      </c>
      <c r="E179" s="1" t="str">
        <f>VLOOKUP(Table1[[#This Row],[sekolah_id]],Table4[],2,FALSE)</f>
        <v>SD NEGERI 1 PASEGERAN</v>
      </c>
      <c r="F179" s="1">
        <f>VLOOKUP(Table1[[#This Row],[sekolah_id]],Table4[],3,FALSE)</f>
        <v>20304463</v>
      </c>
      <c r="H179">
        <v>151004045</v>
      </c>
      <c r="I179" t="s">
        <v>175</v>
      </c>
      <c r="J179" t="s">
        <v>248</v>
      </c>
    </row>
    <row r="180" spans="1:10" x14ac:dyDescent="0.25">
      <c r="A180" t="s">
        <v>176</v>
      </c>
      <c r="B180">
        <v>3149799612</v>
      </c>
      <c r="C180" s="1">
        <v>3304064202140000</v>
      </c>
      <c r="D180" s="1" t="str">
        <f>VLOOKUP(Table1[[#This Row],[nisn]],Table3[],3,FALSE)</f>
        <v>00673C59-2DF5-E011-93CD-DD39F293956D</v>
      </c>
      <c r="E180" s="1" t="str">
        <f>VLOOKUP(Table1[[#This Row],[sekolah_id]],Table4[],2,FALSE)</f>
        <v>SD MUHAMMADIYAH 4 BANJARNEGARA</v>
      </c>
      <c r="F180" s="1">
        <f>VLOOKUP(Table1[[#This Row],[sekolah_id]],Table4[],3,FALSE)</f>
        <v>20304248</v>
      </c>
      <c r="H180">
        <v>3149799612</v>
      </c>
      <c r="I180" t="s">
        <v>176</v>
      </c>
      <c r="J180" t="s">
        <v>220</v>
      </c>
    </row>
    <row r="181" spans="1:10" x14ac:dyDescent="0.25">
      <c r="A181" t="s">
        <v>167</v>
      </c>
      <c r="B181">
        <v>3151801890</v>
      </c>
      <c r="C181" s="1">
        <v>3304155609150000</v>
      </c>
      <c r="D181" s="1" t="str">
        <f>VLOOKUP(Table1[[#This Row],[nisn]],Table3[],3,FALSE)</f>
        <v>6086D555-2DF5-E011-95CB-D33E6E27C5CE</v>
      </c>
      <c r="E181" s="1" t="str">
        <f>VLOOKUP(Table1[[#This Row],[sekolah_id]],Table4[],2,FALSE)</f>
        <v>SD NEGERI 1 KALIBOMBONG</v>
      </c>
      <c r="F181" s="1">
        <f>VLOOKUP(Table1[[#This Row],[sekolah_id]],Table4[],3,FALSE)</f>
        <v>20304635</v>
      </c>
      <c r="H181">
        <v>145413412</v>
      </c>
      <c r="I181" t="s">
        <v>177</v>
      </c>
      <c r="J181" t="s">
        <v>218</v>
      </c>
    </row>
    <row r="182" spans="1:10" x14ac:dyDescent="0.25">
      <c r="A182" t="s">
        <v>138</v>
      </c>
      <c r="B182">
        <v>3163664703</v>
      </c>
      <c r="C182" s="1">
        <v>3304094212160000</v>
      </c>
      <c r="D182" s="1" t="str">
        <f>VLOOKUP(Table1[[#This Row],[nisn]],Table3[],3,FALSE)</f>
        <v>90A0C355-2DF5-E011-8702-BDAAC1C63FB6</v>
      </c>
      <c r="E182" s="1" t="str">
        <f>VLOOKUP(Table1[[#This Row],[sekolah_id]],Table4[],2,FALSE)</f>
        <v>SD NEGERI 1 PRENDENGAN</v>
      </c>
      <c r="F182" s="1">
        <f>VLOOKUP(Table1[[#This Row],[sekolah_id]],Table4[],3,FALSE)</f>
        <v>20304419</v>
      </c>
      <c r="H182">
        <v>147901015</v>
      </c>
      <c r="I182" t="s">
        <v>5</v>
      </c>
      <c r="J182" t="s">
        <v>316</v>
      </c>
    </row>
    <row r="183" spans="1:10" x14ac:dyDescent="0.25">
      <c r="A183" t="s">
        <v>26</v>
      </c>
      <c r="B183">
        <v>146356590</v>
      </c>
      <c r="C183" s="1">
        <v>3304136507140000</v>
      </c>
      <c r="D183" s="1" t="str">
        <f>VLOOKUP(Table1[[#This Row],[nisn]],Table3[],3,FALSE)</f>
        <v>E04BCB55-2DF5-E011-83F2-71D497E27128</v>
      </c>
      <c r="E183" s="1" t="str">
        <f>VLOOKUP(Table1[[#This Row],[sekolah_id]],Table4[],2,FALSE)</f>
        <v>SDN 2 Karanggondang</v>
      </c>
      <c r="F183" s="1">
        <f>VLOOKUP(Table1[[#This Row],[sekolah_id]],Table4[],3,FALSE)</f>
        <v>20303819</v>
      </c>
      <c r="H183">
        <v>149077047</v>
      </c>
      <c r="I183" t="s">
        <v>178</v>
      </c>
      <c r="J183" t="s">
        <v>206</v>
      </c>
    </row>
    <row r="184" spans="1:10" x14ac:dyDescent="0.25">
      <c r="A184" t="s">
        <v>102</v>
      </c>
      <c r="B184">
        <v>141515467</v>
      </c>
      <c r="C184" s="1">
        <v>3302070611140000</v>
      </c>
      <c r="D184" s="1" t="str">
        <f>VLOOKUP(Table1[[#This Row],[nisn]],Table3[],3,FALSE)</f>
        <v>E02CB455-2DF5-E011-8D32-457C3956D275</v>
      </c>
      <c r="E184" s="1" t="str">
        <f>VLOOKUP(Table1[[#This Row],[sekolah_id]],Table4[],2,FALSE)</f>
        <v>SD NEGERI 3 BERTA</v>
      </c>
      <c r="F184" s="1">
        <f>VLOOKUP(Table1[[#This Row],[sekolah_id]],Table4[],3,FALSE)</f>
        <v>20303723</v>
      </c>
      <c r="H184">
        <v>141557487</v>
      </c>
      <c r="I184" t="s">
        <v>179</v>
      </c>
      <c r="J184" t="s">
        <v>218</v>
      </c>
    </row>
    <row r="185" spans="1:10" x14ac:dyDescent="0.25">
      <c r="A185" t="s">
        <v>76</v>
      </c>
      <c r="B185">
        <v>139210922</v>
      </c>
      <c r="C185" s="1">
        <v>3304082708130000</v>
      </c>
      <c r="D185" s="1" t="str">
        <f>VLOOKUP(Table1[[#This Row],[nisn]],Table3[],3,FALSE)</f>
        <v>7021C255-2DF5-E011-B8B6-59A4BB106C23</v>
      </c>
      <c r="E185" s="1" t="str">
        <f>VLOOKUP(Table1[[#This Row],[sekolah_id]],Table4[],2,FALSE)</f>
        <v>SD NEGERI 1 CLAPAR</v>
      </c>
      <c r="F185" s="1">
        <f>VLOOKUP(Table1[[#This Row],[sekolah_id]],Table4[],3,FALSE)</f>
        <v>20304549</v>
      </c>
      <c r="H185">
        <v>145552932</v>
      </c>
      <c r="I185" t="s">
        <v>180</v>
      </c>
      <c r="J185" t="s">
        <v>268</v>
      </c>
    </row>
    <row r="186" spans="1:10" x14ac:dyDescent="0.25">
      <c r="A186" t="s">
        <v>125</v>
      </c>
      <c r="B186">
        <v>132122840</v>
      </c>
      <c r="C186" s="1">
        <v>3304035809140000</v>
      </c>
      <c r="D186" s="1" t="str">
        <f>VLOOKUP(Table1[[#This Row],[nisn]],Table3[],3,FALSE)</f>
        <v>A044B855-2DF5-E011-AF5A-BFAF5382C433</v>
      </c>
      <c r="E186" s="1" t="str">
        <f>VLOOKUP(Table1[[#This Row],[sekolah_id]],Table4[],2,FALSE)</f>
        <v>SD NEGERI 3 MANDIRAJA WETAN</v>
      </c>
      <c r="F186" s="1">
        <f>VLOOKUP(Table1[[#This Row],[sekolah_id]],Table4[],3,FALSE)</f>
        <v>20340835</v>
      </c>
      <c r="H186">
        <v>134868000</v>
      </c>
      <c r="I186" t="s">
        <v>181</v>
      </c>
      <c r="J186" t="s">
        <v>344</v>
      </c>
    </row>
    <row r="187" spans="1:10" x14ac:dyDescent="0.25">
      <c r="A187" t="s">
        <v>5</v>
      </c>
      <c r="B187">
        <v>147901015</v>
      </c>
      <c r="C187" s="1">
        <v>3304050101140000</v>
      </c>
      <c r="D187" s="1" t="str">
        <f>VLOOKUP(Table1[[#This Row],[nisn]],Table3[],3,FALSE)</f>
        <v>4056BC55-2DF5-E011-9C98-C570D0215475</v>
      </c>
      <c r="E187" s="1" t="str">
        <f>VLOOKUP(Table1[[#This Row],[sekolah_id]],Table4[],2,FALSE)</f>
        <v>SD NEGERI 1 MAJALENGKA</v>
      </c>
      <c r="F187" s="1">
        <f>VLOOKUP(Table1[[#This Row],[sekolah_id]],Table4[],3,FALSE)</f>
        <v>20304624</v>
      </c>
      <c r="H187">
        <v>141716945</v>
      </c>
      <c r="I187" t="s">
        <v>1</v>
      </c>
      <c r="J187" t="s">
        <v>260</v>
      </c>
    </row>
    <row r="188" spans="1:10" x14ac:dyDescent="0.25">
      <c r="A188" t="s">
        <v>5</v>
      </c>
      <c r="B188">
        <v>147901015</v>
      </c>
      <c r="C188" s="1">
        <v>3304050101140000</v>
      </c>
      <c r="D188" s="1" t="str">
        <f>VLOOKUP(Table1[[#This Row],[nisn]],Table3[],3,FALSE)</f>
        <v>4056BC55-2DF5-E011-9C98-C570D0215475</v>
      </c>
      <c r="E188" s="1" t="str">
        <f>VLOOKUP(Table1[[#This Row],[sekolah_id]],Table4[],2,FALSE)</f>
        <v>SD NEGERI 1 MAJALENGKA</v>
      </c>
      <c r="F188" s="1">
        <f>VLOOKUP(Table1[[#This Row],[sekolah_id]],Table4[],3,FALSE)</f>
        <v>20304624</v>
      </c>
      <c r="H188">
        <v>3150229322</v>
      </c>
      <c r="I188" t="s">
        <v>182</v>
      </c>
      <c r="J188" t="s">
        <v>266</v>
      </c>
    </row>
    <row r="189" spans="1:10" x14ac:dyDescent="0.25">
      <c r="A189" t="s">
        <v>33</v>
      </c>
      <c r="B189">
        <v>139730422</v>
      </c>
      <c r="C189" s="1">
        <v>3304096407130000</v>
      </c>
      <c r="D189" s="1" t="str">
        <f>VLOOKUP(Table1[[#This Row],[nisn]],Table3[],3,FALSE)</f>
        <v>7025BE55-2DF5-E011-9373-43724474F268</v>
      </c>
      <c r="E189" s="1" t="str">
        <f>VLOOKUP(Table1[[#This Row],[sekolah_id]],Table4[],2,FALSE)</f>
        <v>SD NEGERI 1 KRANDEGAN</v>
      </c>
      <c r="F189" s="1">
        <f>VLOOKUP(Table1[[#This Row],[sekolah_id]],Table4[],3,FALSE)</f>
        <v>20304607</v>
      </c>
      <c r="H189">
        <v>143694644</v>
      </c>
      <c r="I189" t="s">
        <v>183</v>
      </c>
      <c r="J189" t="s">
        <v>258</v>
      </c>
    </row>
    <row r="190" spans="1:10" x14ac:dyDescent="0.25">
      <c r="A190" t="s">
        <v>121</v>
      </c>
      <c r="B190">
        <v>133012476</v>
      </c>
      <c r="C190" s="1">
        <v>3304053007130000</v>
      </c>
      <c r="D190" s="1" t="str">
        <f>VLOOKUP(Table1[[#This Row],[nisn]],Table3[],3,FALSE)</f>
        <v>2053BD55-2DF5-E011-8BBB-F1DD0A103ED8</v>
      </c>
      <c r="E190" s="1" t="str">
        <f>VLOOKUP(Table1[[#This Row],[sekolah_id]],Table4[],2,FALSE)</f>
        <v>SD NEGERI 2 MAJALENGKA</v>
      </c>
      <c r="F190" s="1">
        <f>VLOOKUP(Table1[[#This Row],[sekolah_id]],Table4[],3,FALSE)</f>
        <v>20340961</v>
      </c>
      <c r="H190">
        <v>148304860</v>
      </c>
      <c r="I190" t="s">
        <v>119</v>
      </c>
      <c r="J190" t="s">
        <v>326</v>
      </c>
    </row>
    <row r="191" spans="1:10" x14ac:dyDescent="0.25">
      <c r="A191" t="s">
        <v>140</v>
      </c>
      <c r="B191">
        <v>3134811924</v>
      </c>
      <c r="C191" s="1">
        <v>3304065712130000</v>
      </c>
      <c r="D191" s="1" t="str">
        <f>VLOOKUP(Table1[[#This Row],[nisn]],Table3[],3,FALSE)</f>
        <v>408ABF55-2DF5-E011-B053-DDB06B098764</v>
      </c>
      <c r="E191" s="1" t="str">
        <f>VLOOKUP(Table1[[#This Row],[sekolah_id]],Table4[],2,FALSE)</f>
        <v>SD NEGERI 2 TLAGAWERA</v>
      </c>
      <c r="F191" s="1">
        <f>VLOOKUP(Table1[[#This Row],[sekolah_id]],Table4[],3,FALSE)</f>
        <v>20303726</v>
      </c>
      <c r="H191">
        <v>133351394</v>
      </c>
      <c r="I191" t="s">
        <v>184</v>
      </c>
      <c r="J191" t="s">
        <v>338</v>
      </c>
    </row>
    <row r="192" spans="1:10" x14ac:dyDescent="0.25">
      <c r="A192" t="s">
        <v>15</v>
      </c>
      <c r="B192">
        <v>3141063799</v>
      </c>
      <c r="C192" s="1">
        <v>3304011512140000</v>
      </c>
      <c r="D192" s="1" t="str">
        <f>VLOOKUP(Table1[[#This Row],[nisn]],Table3[],3,FALSE)</f>
        <v>F043B255-2DF5-E011-8B64-3784366F4E1F</v>
      </c>
      <c r="E192" s="1" t="str">
        <f>VLOOKUP(Table1[[#This Row],[sekolah_id]],Table4[],2,FALSE)</f>
        <v>SD NEGERI 1 GUMELEM WETAN</v>
      </c>
      <c r="F192" s="1">
        <f>VLOOKUP(Table1[[#This Row],[sekolah_id]],Table4[],3,FALSE)</f>
        <v>20304574</v>
      </c>
      <c r="H192">
        <v>148304860</v>
      </c>
      <c r="I192" t="s">
        <v>119</v>
      </c>
      <c r="J192" t="s">
        <v>326</v>
      </c>
    </row>
    <row r="193" spans="1:10" x14ac:dyDescent="0.25">
      <c r="A193" t="s">
        <v>25</v>
      </c>
      <c r="B193">
        <v>3149151945</v>
      </c>
      <c r="C193" s="1">
        <v>3304200504140000</v>
      </c>
      <c r="D193" s="1" t="str">
        <f>VLOOKUP(Table1[[#This Row],[nisn]],Table3[],3,FALSE)</f>
        <v>400EC055-2DF5-E011-BD0D-A956EB840D80</v>
      </c>
      <c r="E193" s="1" t="str">
        <f>VLOOKUP(Table1[[#This Row],[sekolah_id]],Table4[],2,FALSE)</f>
        <v>SD NEGERI 3 PAGEDONGAN</v>
      </c>
      <c r="F193" s="1">
        <f>VLOOKUP(Table1[[#This Row],[sekolah_id]],Table4[],3,FALSE)</f>
        <v>20303758</v>
      </c>
      <c r="H193">
        <v>142817193</v>
      </c>
      <c r="I193" t="s">
        <v>185</v>
      </c>
      <c r="J193" t="s">
        <v>344</v>
      </c>
    </row>
    <row r="194" spans="1:10" x14ac:dyDescent="0.25">
      <c r="A194" t="s">
        <v>11</v>
      </c>
      <c r="B194">
        <v>3155857692</v>
      </c>
      <c r="C194" s="1">
        <v>3304122308150000</v>
      </c>
      <c r="D194" s="1" t="str">
        <f>VLOOKUP(Table1[[#This Row],[nisn]],Table3[],3,FALSE)</f>
        <v>B0EEC855-2DF5-E011-BD15-CBAFCEBDE68C</v>
      </c>
      <c r="E194" s="1" t="str">
        <f>VLOOKUP(Table1[[#This Row],[sekolah_id]],Table4[],2,FALSE)</f>
        <v>SD NEGERI KLAPA</v>
      </c>
      <c r="F194" s="1">
        <f>VLOOKUP(Table1[[#This Row],[sekolah_id]],Table4[],3,FALSE)</f>
        <v>20304137</v>
      </c>
      <c r="H194">
        <v>143973604</v>
      </c>
      <c r="I194" t="s">
        <v>0</v>
      </c>
      <c r="J194" t="s">
        <v>316</v>
      </c>
    </row>
    <row r="195" spans="1:10" x14ac:dyDescent="0.25">
      <c r="A195" t="s">
        <v>174</v>
      </c>
      <c r="B195">
        <v>139335420</v>
      </c>
      <c r="C195" s="1">
        <v>3304130309130000</v>
      </c>
      <c r="D195" s="1" t="str">
        <f>VLOOKUP(Table1[[#This Row],[nisn]],Table3[],3,FALSE)</f>
        <v>806BCA55-2DF5-E011-B227-BF8A4196B81F</v>
      </c>
      <c r="E195" s="1" t="str">
        <f>VLOOKUP(Table1[[#This Row],[sekolah_id]],Table4[],2,FALSE)</f>
        <v>SD NEGERI 01 LEKSANA</v>
      </c>
      <c r="F195" s="1">
        <f>VLOOKUP(Table1[[#This Row],[sekolah_id]],Table4[],3,FALSE)</f>
        <v>20304629</v>
      </c>
      <c r="H195">
        <v>3163800052</v>
      </c>
      <c r="I195" t="s">
        <v>186</v>
      </c>
      <c r="J195" t="s">
        <v>340</v>
      </c>
    </row>
    <row r="196" spans="1:10" x14ac:dyDescent="0.25">
      <c r="A196" t="s">
        <v>93</v>
      </c>
      <c r="B196">
        <v>146332303</v>
      </c>
      <c r="C196" s="1">
        <v>3304171404140000</v>
      </c>
      <c r="D196" s="1" t="str">
        <f>VLOOKUP(Table1[[#This Row],[nisn]],Table3[],3,FALSE)</f>
        <v>90B4D355-2DF5-E011-9171-DB4E484A8875</v>
      </c>
      <c r="E196" s="1" t="str">
        <f>VLOOKUP(Table1[[#This Row],[sekolah_id]],Table4[],2,FALSE)</f>
        <v>SD NEGERI 1 TEMPURAN</v>
      </c>
      <c r="F196" s="1">
        <f>VLOOKUP(Table1[[#This Row],[sekolah_id]],Table4[],3,FALSE)</f>
        <v>20304529</v>
      </c>
      <c r="H196">
        <v>143354033</v>
      </c>
      <c r="I196" t="s">
        <v>24</v>
      </c>
      <c r="J196" t="s">
        <v>316</v>
      </c>
    </row>
    <row r="197" spans="1:10" x14ac:dyDescent="0.25">
      <c r="A197" t="s">
        <v>100</v>
      </c>
      <c r="B197">
        <v>143657264</v>
      </c>
      <c r="C197" s="1">
        <v>3304170209140000</v>
      </c>
      <c r="D197" s="1" t="str">
        <f>VLOOKUP(Table1[[#This Row],[nisn]],Table3[],3,FALSE)</f>
        <v>90B4D355-2DF5-E011-9171-DB4E484A8875</v>
      </c>
      <c r="E197" s="1" t="str">
        <f>VLOOKUP(Table1[[#This Row],[sekolah_id]],Table4[],2,FALSE)</f>
        <v>SD NEGERI 1 TEMPURAN</v>
      </c>
      <c r="F197" s="1">
        <f>VLOOKUP(Table1[[#This Row],[sekolah_id]],Table4[],3,FALSE)</f>
        <v>20304529</v>
      </c>
      <c r="H197">
        <v>142463083</v>
      </c>
      <c r="I197" t="s">
        <v>187</v>
      </c>
      <c r="J197" t="s">
        <v>264</v>
      </c>
    </row>
    <row r="198" spans="1:10" x14ac:dyDescent="0.25">
      <c r="A198" t="s">
        <v>13</v>
      </c>
      <c r="B198">
        <v>3149847531</v>
      </c>
      <c r="C198" s="1">
        <v>3304182401140000</v>
      </c>
      <c r="D198" s="1" t="str">
        <f>VLOOKUP(Table1[[#This Row],[nisn]],Table3[],3,FALSE)</f>
        <v>E04BCB55-2DF5-E011-83F2-71D497E27128</v>
      </c>
      <c r="E198" s="1" t="str">
        <f>VLOOKUP(Table1[[#This Row],[sekolah_id]],Table4[],2,FALSE)</f>
        <v>SDN 2 Karanggondang</v>
      </c>
      <c r="F198" s="1">
        <f>VLOOKUP(Table1[[#This Row],[sekolah_id]],Table4[],3,FALSE)</f>
        <v>20303819</v>
      </c>
      <c r="H198">
        <v>142600560</v>
      </c>
      <c r="I198" t="s">
        <v>188</v>
      </c>
      <c r="J198" t="s">
        <v>344</v>
      </c>
    </row>
    <row r="199" spans="1:10" x14ac:dyDescent="0.25">
      <c r="A199" t="s">
        <v>61</v>
      </c>
      <c r="B199">
        <v>3133914436</v>
      </c>
      <c r="C199" s="1">
        <v>3304160305130000</v>
      </c>
      <c r="D199" s="1" t="str">
        <f>VLOOKUP(Table1[[#This Row],[nisn]],Table3[],3,FALSE)</f>
        <v>7026D255-2DF5-E011-80A6-EF30C3202104</v>
      </c>
      <c r="E199" s="1" t="str">
        <f>VLOOKUP(Table1[[#This Row],[sekolah_id]],Table4[],2,FALSE)</f>
        <v>SD NEGERI 1 SUMBEREJO</v>
      </c>
      <c r="F199" s="1">
        <f>VLOOKUP(Table1[[#This Row],[sekolah_id]],Table4[],3,FALSE)</f>
        <v>20304521</v>
      </c>
      <c r="H199">
        <v>3138659261</v>
      </c>
      <c r="I199" t="s">
        <v>189</v>
      </c>
      <c r="J199" t="s">
        <v>318</v>
      </c>
    </row>
    <row r="200" spans="1:10" x14ac:dyDescent="0.25">
      <c r="A200" t="s">
        <v>91</v>
      </c>
      <c r="B200">
        <v>168668108</v>
      </c>
      <c r="C200" s="1">
        <v>3304202305160000</v>
      </c>
      <c r="D200" s="1" t="str">
        <f>VLOOKUP(Table1[[#This Row],[nisn]],Table3[],3,FALSE)</f>
        <v>80F8BB55-2DF5-E011-A484-1FF784BFA9E1</v>
      </c>
      <c r="E200" s="1" t="str">
        <f>VLOOKUP(Table1[[#This Row],[sekolah_id]],Table4[],2,FALSE)</f>
        <v>SD NEGERI 1 LEBAKWANGI</v>
      </c>
      <c r="F200" s="1">
        <f>VLOOKUP(Table1[[#This Row],[sekolah_id]],Table4[],3,FALSE)</f>
        <v>20304630</v>
      </c>
      <c r="H200">
        <v>3140232539</v>
      </c>
      <c r="I200" t="s">
        <v>190</v>
      </c>
      <c r="J200" t="s">
        <v>318</v>
      </c>
    </row>
    <row r="201" spans="1:10" x14ac:dyDescent="0.25">
      <c r="A201" t="s">
        <v>189</v>
      </c>
      <c r="B201">
        <v>3138659261</v>
      </c>
      <c r="C201" s="1">
        <v>3304030810130000</v>
      </c>
      <c r="D201" s="1" t="str">
        <f>VLOOKUP(Table1[[#This Row],[nisn]],Table3[],3,FALSE)</f>
        <v>105FB855-2DF5-E011-AD93-C919C546F037</v>
      </c>
      <c r="E201" s="1" t="str">
        <f>VLOOKUP(Table1[[#This Row],[sekolah_id]],Table4[],2,FALSE)</f>
        <v>SD NEGERI 3 MANDIRAJA KULON</v>
      </c>
      <c r="F201" s="1">
        <f>VLOOKUP(Table1[[#This Row],[sekolah_id]],Table4[],3,FALSE)</f>
        <v>20338257</v>
      </c>
      <c r="H201">
        <v>132574296</v>
      </c>
      <c r="I201" t="s">
        <v>191</v>
      </c>
      <c r="J201" t="s">
        <v>220</v>
      </c>
    </row>
    <row r="202" spans="1:10" x14ac:dyDescent="0.25">
      <c r="A202" t="s">
        <v>35</v>
      </c>
      <c r="B202">
        <v>139263702</v>
      </c>
      <c r="C202" s="1">
        <v>3304171510130000</v>
      </c>
      <c r="D202" s="1" t="str">
        <f>VLOOKUP(Table1[[#This Row],[nisn]],Table3[],3,FALSE)</f>
        <v>F012D355-2DF5-E011-A8E2-05CD367136DB</v>
      </c>
      <c r="E202" s="1" t="str">
        <f>VLOOKUP(Table1[[#This Row],[sekolah_id]],Table4[],2,FALSE)</f>
        <v>SD NEGERI 1 WANAYASA</v>
      </c>
      <c r="F202" s="1">
        <f>VLOOKUP(Table1[[#This Row],[sekolah_id]],Table4[],3,FALSE)</f>
        <v>20304488</v>
      </c>
      <c r="H202">
        <v>138663557</v>
      </c>
      <c r="I202" t="s">
        <v>6</v>
      </c>
      <c r="J202" t="s">
        <v>260</v>
      </c>
    </row>
    <row r="203" spans="1:10" x14ac:dyDescent="0.25">
      <c r="A203" t="s">
        <v>12</v>
      </c>
      <c r="B203">
        <v>136829376</v>
      </c>
      <c r="C203" s="1">
        <v>3304202707130000</v>
      </c>
      <c r="D203" s="1" t="str">
        <f>VLOOKUP(Table1[[#This Row],[nisn]],Table3[],3,FALSE)</f>
        <v>80F8BB55-2DF5-E011-A484-1FF784BFA9E1</v>
      </c>
      <c r="E203" s="1" t="str">
        <f>VLOOKUP(Table1[[#This Row],[sekolah_id]],Table4[],2,FALSE)</f>
        <v>SD NEGERI 1 LEBAKWANGI</v>
      </c>
      <c r="F203" s="1">
        <f>VLOOKUP(Table1[[#This Row],[sekolah_id]],Table4[],3,FALSE)</f>
        <v>20304630</v>
      </c>
      <c r="H203">
        <v>142047637</v>
      </c>
      <c r="I203" t="s">
        <v>192</v>
      </c>
      <c r="J203" t="s">
        <v>268</v>
      </c>
    </row>
    <row r="204" spans="1:10" x14ac:dyDescent="0.25">
      <c r="A204" t="s">
        <v>114</v>
      </c>
      <c r="B204">
        <v>141442394</v>
      </c>
      <c r="C204" s="1">
        <v>3304171205140000</v>
      </c>
      <c r="D204" s="1" t="str">
        <f>VLOOKUP(Table1[[#This Row],[nisn]],Table3[],3,FALSE)</f>
        <v>90B4D355-2DF5-E011-9171-DB4E484A8875</v>
      </c>
      <c r="E204" s="1" t="str">
        <f>VLOOKUP(Table1[[#This Row],[sekolah_id]],Table4[],2,FALSE)</f>
        <v>SD NEGERI 1 TEMPURAN</v>
      </c>
      <c r="F204" s="1">
        <f>VLOOKUP(Table1[[#This Row],[sekolah_id]],Table4[],3,FALSE)</f>
        <v>20304529</v>
      </c>
      <c r="H204">
        <v>133201999</v>
      </c>
      <c r="I204" t="s">
        <v>193</v>
      </c>
      <c r="J204" t="s">
        <v>218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B7AA-B525-4D3C-8D71-59FC22CF0C33}">
  <dimension ref="A1:D6"/>
  <sheetViews>
    <sheetView tabSelected="1" workbookViewId="0"/>
  </sheetViews>
  <sheetFormatPr defaultRowHeight="15" x14ac:dyDescent="0.25"/>
  <cols>
    <col min="1" max="1" width="26.28515625" bestFit="1" customWidth="1"/>
    <col min="2" max="2" width="12.5703125" style="3" bestFit="1" customWidth="1"/>
    <col min="3" max="3" width="25.5703125" bestFit="1" customWidth="1"/>
  </cols>
  <sheetData>
    <row r="1" spans="1:4" x14ac:dyDescent="0.25">
      <c r="A1" t="s">
        <v>369</v>
      </c>
      <c r="B1" s="2" t="s">
        <v>370</v>
      </c>
      <c r="C1" t="s">
        <v>229</v>
      </c>
      <c r="D1">
        <v>20304607</v>
      </c>
    </row>
    <row r="2" spans="1:4" x14ac:dyDescent="0.25">
      <c r="A2" t="s">
        <v>197</v>
      </c>
      <c r="B2" s="3" t="s">
        <v>371</v>
      </c>
      <c r="C2" t="s">
        <v>374</v>
      </c>
      <c r="D2">
        <v>20303918</v>
      </c>
    </row>
    <row r="3" spans="1:4" x14ac:dyDescent="0.25">
      <c r="A3" t="s">
        <v>198</v>
      </c>
      <c r="B3" s="3" t="s">
        <v>372</v>
      </c>
      <c r="C3" t="s">
        <v>373</v>
      </c>
      <c r="D3">
        <v>20304631</v>
      </c>
    </row>
    <row r="4" spans="1:4" x14ac:dyDescent="0.25">
      <c r="A4" t="s">
        <v>199</v>
      </c>
      <c r="B4" s="3" t="s">
        <v>375</v>
      </c>
      <c r="C4" t="s">
        <v>373</v>
      </c>
      <c r="D4">
        <v>20304631</v>
      </c>
    </row>
    <row r="5" spans="1:4" x14ac:dyDescent="0.25">
      <c r="A5" t="s">
        <v>200</v>
      </c>
      <c r="B5" s="3" t="s">
        <v>376</v>
      </c>
      <c r="C5" t="s">
        <v>373</v>
      </c>
      <c r="D5">
        <v>20304631</v>
      </c>
    </row>
    <row r="6" spans="1:4" x14ac:dyDescent="0.25">
      <c r="A6" t="s">
        <v>201</v>
      </c>
      <c r="B6" s="3" t="s">
        <v>377</v>
      </c>
      <c r="C6" t="s">
        <v>305</v>
      </c>
      <c r="D6">
        <v>60710829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GAMING</dc:creator>
  <cp:lastModifiedBy>ASUS TUF GAMING</cp:lastModifiedBy>
  <dcterms:created xsi:type="dcterms:W3CDTF">2026-06-30T07:40:45Z</dcterms:created>
  <dcterms:modified xsi:type="dcterms:W3CDTF">2026-06-30T08:37:30Z</dcterms:modified>
</cp:coreProperties>
</file>